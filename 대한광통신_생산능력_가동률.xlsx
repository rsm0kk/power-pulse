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sm86\OneDrive\문서\전력기기 대쉬보드\"/>
    </mc:Choice>
  </mc:AlternateContent>
  <xr:revisionPtr revIDLastSave="0" documentId="13_ncr:1_{A27FB21D-483D-418C-AF32-F5074C145F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원자료_공시누적_백만원" sheetId="1" r:id="rId1"/>
    <sheet name="분기별_억원" sheetId="2" r:id="rId2"/>
    <sheet name="차트" sheetId="3" r:id="rId3"/>
    <sheet name="가동률_검증" sheetId="4" r:id="rId4"/>
    <sheet name="출처_주석" sheetId="5" r:id="rId5"/>
  </sheets>
  <calcPr calcId="191029"/>
</workbook>
</file>

<file path=xl/calcChain.xml><?xml version="1.0" encoding="utf-8"?>
<calcChain xmlns="http://schemas.openxmlformats.org/spreadsheetml/2006/main">
  <c r="G15" i="4" l="1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L23" i="2"/>
  <c r="K23" i="2"/>
  <c r="M23" i="2" s="1"/>
  <c r="I23" i="2"/>
  <c r="H23" i="2"/>
  <c r="F23" i="2"/>
  <c r="E23" i="2"/>
  <c r="G23" i="2" s="1"/>
  <c r="L22" i="2"/>
  <c r="K22" i="2"/>
  <c r="M22" i="2" s="1"/>
  <c r="I22" i="2"/>
  <c r="H22" i="2"/>
  <c r="J22" i="2" s="1"/>
  <c r="F22" i="2"/>
  <c r="E22" i="2"/>
  <c r="G22" i="2" s="1"/>
  <c r="C22" i="2"/>
  <c r="O22" i="2" s="1"/>
  <c r="B22" i="2"/>
  <c r="R19" i="2"/>
  <c r="Q19" i="2"/>
  <c r="S19" i="2" s="1"/>
  <c r="R18" i="2"/>
  <c r="Q18" i="2"/>
  <c r="S18" i="2" s="1"/>
  <c r="R15" i="2"/>
  <c r="R20" i="2" s="1"/>
  <c r="Q15" i="2"/>
  <c r="L15" i="2"/>
  <c r="K15" i="2"/>
  <c r="I15" i="2"/>
  <c r="H15" i="2"/>
  <c r="F15" i="2"/>
  <c r="E15" i="2"/>
  <c r="G15" i="2" s="1"/>
  <c r="L14" i="2"/>
  <c r="K14" i="2"/>
  <c r="M14" i="2" s="1"/>
  <c r="I14" i="2"/>
  <c r="H14" i="2"/>
  <c r="F14" i="2"/>
  <c r="E14" i="2"/>
  <c r="E20" i="2" s="1"/>
  <c r="C14" i="2"/>
  <c r="B14" i="2"/>
  <c r="L13" i="2"/>
  <c r="K13" i="2"/>
  <c r="M13" i="2" s="1"/>
  <c r="I13" i="2"/>
  <c r="H13" i="2"/>
  <c r="F13" i="2"/>
  <c r="E13" i="2"/>
  <c r="B13" i="2" s="1"/>
  <c r="L12" i="2"/>
  <c r="K12" i="2"/>
  <c r="M12" i="2" s="1"/>
  <c r="I12" i="2"/>
  <c r="H12" i="2"/>
  <c r="F12" i="2"/>
  <c r="E12" i="2"/>
  <c r="G12" i="2" s="1"/>
  <c r="L11" i="2"/>
  <c r="K11" i="2"/>
  <c r="M11" i="2" s="1"/>
  <c r="I11" i="2"/>
  <c r="H11" i="2"/>
  <c r="J11" i="2" s="1"/>
  <c r="F11" i="2"/>
  <c r="O11" i="2" s="1"/>
  <c r="E11" i="2"/>
  <c r="C11" i="2"/>
  <c r="B11" i="2"/>
  <c r="L10" i="2"/>
  <c r="K10" i="2"/>
  <c r="I10" i="2"/>
  <c r="H10" i="2"/>
  <c r="F10" i="2"/>
  <c r="E10" i="2"/>
  <c r="L9" i="2"/>
  <c r="K9" i="2"/>
  <c r="M9" i="2" s="1"/>
  <c r="I9" i="2"/>
  <c r="H9" i="2"/>
  <c r="F9" i="2"/>
  <c r="O9" i="2" s="1"/>
  <c r="E9" i="2"/>
  <c r="C9" i="2"/>
  <c r="L8" i="2"/>
  <c r="K8" i="2"/>
  <c r="I8" i="2"/>
  <c r="H8" i="2"/>
  <c r="F8" i="2"/>
  <c r="E8" i="2"/>
  <c r="L7" i="2"/>
  <c r="C7" i="2" s="1"/>
  <c r="D7" i="2" s="1"/>
  <c r="K7" i="2"/>
  <c r="I7" i="2"/>
  <c r="H7" i="2"/>
  <c r="J7" i="2" s="1"/>
  <c r="F7" i="2"/>
  <c r="E7" i="2"/>
  <c r="B7" i="2"/>
  <c r="L6" i="2"/>
  <c r="L18" i="2" s="1"/>
  <c r="K6" i="2"/>
  <c r="K18" i="2" s="1"/>
  <c r="I6" i="2"/>
  <c r="I18" i="2" s="1"/>
  <c r="H6" i="2"/>
  <c r="F6" i="2"/>
  <c r="F18" i="2" s="1"/>
  <c r="E6" i="2"/>
  <c r="P18" i="1"/>
  <c r="O18" i="1"/>
  <c r="Q18" i="1" s="1"/>
  <c r="P17" i="1"/>
  <c r="O17" i="1"/>
  <c r="P14" i="1"/>
  <c r="O14" i="1"/>
  <c r="Q14" i="1" s="1"/>
  <c r="P13" i="1"/>
  <c r="O13" i="1"/>
  <c r="Q13" i="1" s="1"/>
  <c r="P12" i="1"/>
  <c r="O12" i="1"/>
  <c r="Q12" i="1" s="1"/>
  <c r="P11" i="1"/>
  <c r="O11" i="1"/>
  <c r="Q11" i="1" s="1"/>
  <c r="P10" i="1"/>
  <c r="O10" i="1"/>
  <c r="Q10" i="1" s="1"/>
  <c r="P9" i="1"/>
  <c r="O9" i="1"/>
  <c r="Q9" i="1" s="1"/>
  <c r="P8" i="1"/>
  <c r="O8" i="1"/>
  <c r="Q8" i="1" s="1"/>
  <c r="P7" i="1"/>
  <c r="O7" i="1"/>
  <c r="Q7" i="1" s="1"/>
  <c r="P6" i="1"/>
  <c r="O6" i="1"/>
  <c r="Q6" i="1" s="1"/>
  <c r="P5" i="1"/>
  <c r="O5" i="1"/>
  <c r="O7" i="2" l="1"/>
  <c r="J14" i="2"/>
  <c r="M7" i="2"/>
  <c r="J13" i="2"/>
  <c r="B10" i="2"/>
  <c r="O13" i="2"/>
  <c r="C13" i="2"/>
  <c r="D13" i="2" s="1"/>
  <c r="I19" i="2"/>
  <c r="E19" i="2"/>
  <c r="D14" i="2"/>
  <c r="D11" i="2"/>
  <c r="L19" i="2"/>
  <c r="C10" i="2"/>
  <c r="D10" i="2" s="1"/>
  <c r="C8" i="2"/>
  <c r="M18" i="2"/>
  <c r="C23" i="2"/>
  <c r="O23" i="2" s="1"/>
  <c r="L20" i="2"/>
  <c r="J8" i="2"/>
  <c r="O8" i="2"/>
  <c r="Q5" i="1"/>
  <c r="Q17" i="1"/>
  <c r="O14" i="2"/>
  <c r="F20" i="2"/>
  <c r="G20" i="2" s="1"/>
  <c r="M10" i="2"/>
  <c r="K19" i="2"/>
  <c r="J10" i="2"/>
  <c r="H19" i="2"/>
  <c r="J19" i="2" s="1"/>
  <c r="O10" i="2"/>
  <c r="F19" i="2"/>
  <c r="G19" i="2" s="1"/>
  <c r="M8" i="2"/>
  <c r="B8" i="2"/>
  <c r="D8" i="2" s="1"/>
  <c r="H18" i="2"/>
  <c r="J18" i="2" s="1"/>
  <c r="J6" i="2"/>
  <c r="G6" i="2"/>
  <c r="E18" i="2"/>
  <c r="G18" i="2" s="1"/>
  <c r="F17" i="4"/>
  <c r="F16" i="4"/>
  <c r="E17" i="4"/>
  <c r="E16" i="4"/>
  <c r="D17" i="4"/>
  <c r="D16" i="4"/>
  <c r="D18" i="4" s="1"/>
  <c r="C17" i="4"/>
  <c r="C16" i="4"/>
  <c r="C18" i="4" s="1"/>
  <c r="B17" i="4"/>
  <c r="B16" i="4"/>
  <c r="G17" i="4"/>
  <c r="G16" i="4"/>
  <c r="G18" i="4" s="1"/>
  <c r="J23" i="2"/>
  <c r="B23" i="2"/>
  <c r="N22" i="2"/>
  <c r="D22" i="2"/>
  <c r="P22" i="2" s="1"/>
  <c r="Q20" i="2"/>
  <c r="S20" i="2" s="1"/>
  <c r="S15" i="2"/>
  <c r="K20" i="2"/>
  <c r="M15" i="2"/>
  <c r="C15" i="2"/>
  <c r="C20" i="2" s="1"/>
  <c r="O15" i="2"/>
  <c r="I20" i="2"/>
  <c r="J15" i="2"/>
  <c r="N15" i="2"/>
  <c r="P15" i="2" s="1"/>
  <c r="H20" i="2"/>
  <c r="J20" i="2" s="1"/>
  <c r="B15" i="2"/>
  <c r="N14" i="2"/>
  <c r="G14" i="2"/>
  <c r="N13" i="2"/>
  <c r="P13" i="2" s="1"/>
  <c r="G13" i="2"/>
  <c r="C12" i="2"/>
  <c r="O12" i="2"/>
  <c r="N12" i="2"/>
  <c r="P12" i="2" s="1"/>
  <c r="B12" i="2"/>
  <c r="J12" i="2"/>
  <c r="N11" i="2"/>
  <c r="P11" i="2" s="1"/>
  <c r="G11" i="2"/>
  <c r="G10" i="2"/>
  <c r="N10" i="2"/>
  <c r="B9" i="2"/>
  <c r="D9" i="2" s="1"/>
  <c r="J9" i="2"/>
  <c r="G9" i="2"/>
  <c r="N9" i="2"/>
  <c r="P9" i="2" s="1"/>
  <c r="N8" i="2"/>
  <c r="G8" i="2"/>
  <c r="N7" i="2"/>
  <c r="P7" i="2" s="1"/>
  <c r="G7" i="2"/>
  <c r="O6" i="2"/>
  <c r="C6" i="2"/>
  <c r="N6" i="2"/>
  <c r="M6" i="2"/>
  <c r="B6" i="2"/>
  <c r="M19" i="2" l="1"/>
  <c r="C19" i="2"/>
  <c r="C18" i="2"/>
  <c r="M20" i="2"/>
  <c r="O20" i="2"/>
  <c r="O19" i="2"/>
  <c r="P8" i="2"/>
  <c r="O18" i="2"/>
  <c r="F18" i="4"/>
  <c r="E18" i="4"/>
  <c r="B18" i="4"/>
  <c r="D23" i="2"/>
  <c r="P23" i="2" s="1"/>
  <c r="N23" i="2"/>
  <c r="D15" i="2"/>
  <c r="B20" i="2"/>
  <c r="D20" i="2" s="1"/>
  <c r="P14" i="2"/>
  <c r="N20" i="2"/>
  <c r="P20" i="2" s="1"/>
  <c r="D12" i="2"/>
  <c r="B19" i="2"/>
  <c r="D19" i="2" s="1"/>
  <c r="P10" i="2"/>
  <c r="N19" i="2"/>
  <c r="P19" i="2" s="1"/>
  <c r="P6" i="2"/>
  <c r="N18" i="2"/>
  <c r="P18" i="2" s="1"/>
  <c r="D6" i="2"/>
  <c r="B18" i="2"/>
  <c r="D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DART</author>
  </authors>
  <commentList>
    <comment ref="K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INCAB AMERICA LLC(미국 텍사스 GRAPEVINE). 2026-04-30 지분 90% 취득.
반기보고서는 '2개월 생산량 기준'으로 산출했다고 명시.
출처: 반기보고서(2026.06) 접수번호 20260814002121</t>
        </r>
      </text>
    </comment>
  </commentList>
</comments>
</file>

<file path=xl/sharedStrings.xml><?xml version="1.0" encoding="utf-8"?>
<sst xmlns="http://schemas.openxmlformats.org/spreadsheetml/2006/main" count="259" uniqueCount="167">
  <si>
    <t>대한광통신(010170) 생산능력·생산실적 — DART 정기보고서 원문 누적치</t>
  </si>
  <si>
    <t>단위: 백만원 · 각 보고서에 적힌 누적 수치 그대로 옮긴 값(파란 글씨). 분기값은 이 표의 인접 행 차분이며 '분기별_억원' 시트에서 계산한다.</t>
  </si>
  <si>
    <t>분기</t>
  </si>
  <si>
    <t>기간(누적)</t>
  </si>
  <si>
    <t>보고서</t>
  </si>
  <si>
    <t>접수일</t>
  </si>
  <si>
    <t>통신 능력</t>
  </si>
  <si>
    <t>통신 실적</t>
  </si>
  <si>
    <t>전력 능력</t>
  </si>
  <si>
    <t>전력 실적</t>
  </si>
  <si>
    <t>AL 능력</t>
  </si>
  <si>
    <t>AL 실적</t>
  </si>
  <si>
    <t>INCAB통신 능력</t>
  </si>
  <si>
    <t>INCAB통신 실적</t>
  </si>
  <si>
    <t>INCAB전력 능력</t>
  </si>
  <si>
    <t>INCAB전력 실적</t>
  </si>
  <si>
    <t>합계 능력</t>
  </si>
  <si>
    <t>합계 실적</t>
  </si>
  <si>
    <t>가동률</t>
  </si>
  <si>
    <t>1Q24</t>
  </si>
  <si>
    <t>제51기 1분기(누적 3M)</t>
  </si>
  <si>
    <t>분기보고서(2024.03)</t>
  </si>
  <si>
    <t>2024-05-16</t>
  </si>
  <si>
    <t>20240516002096</t>
  </si>
  <si>
    <t>2Q24</t>
  </si>
  <si>
    <t>제51기 반기(누적 6M)</t>
  </si>
  <si>
    <t>반기보고서(2024.06)</t>
  </si>
  <si>
    <t>2024-08-14</t>
  </si>
  <si>
    <t>20240814004417</t>
  </si>
  <si>
    <t>3Q24</t>
  </si>
  <si>
    <t>제51기 3분기(누적 9M)</t>
  </si>
  <si>
    <t>분기보고서(2024.09)</t>
  </si>
  <si>
    <t>2024-11-14</t>
  </si>
  <si>
    <t>20241114002336</t>
  </si>
  <si>
    <t>4Q24</t>
  </si>
  <si>
    <t>제51기 연간(누적 12M)</t>
  </si>
  <si>
    <t>사업보고서(2024.12)</t>
  </si>
  <si>
    <t>2025-03-20</t>
  </si>
  <si>
    <t>20250320001578</t>
  </si>
  <si>
    <t>1Q25</t>
  </si>
  <si>
    <t>제52기 1분기(누적 3M)</t>
  </si>
  <si>
    <t>분기보고서(2025.03)</t>
  </si>
  <si>
    <t>2025-05-14</t>
  </si>
  <si>
    <t>20250514001227</t>
  </si>
  <si>
    <t>2Q25</t>
  </si>
  <si>
    <t>제52기 반기(누적 6M)</t>
  </si>
  <si>
    <t>반기보고서(2025.06)</t>
  </si>
  <si>
    <t>2025-08-14</t>
  </si>
  <si>
    <t>20250814003634</t>
  </si>
  <si>
    <t>3Q25</t>
  </si>
  <si>
    <t>제52기 3분기(누적 9M)</t>
  </si>
  <si>
    <t>분기보고서(2025.09)</t>
  </si>
  <si>
    <t>2025-11-12</t>
  </si>
  <si>
    <t>20251112000555</t>
  </si>
  <si>
    <t>4Q25</t>
  </si>
  <si>
    <t>제52기 연간(누적 12M)</t>
  </si>
  <si>
    <t>사업보고서(2025.12)</t>
  </si>
  <si>
    <t>2026-03-19</t>
  </si>
  <si>
    <t>20260319000854</t>
  </si>
  <si>
    <t>1Q26</t>
  </si>
  <si>
    <t>제53기 1분기(누적 3M)</t>
  </si>
  <si>
    <t>분기보고서(2026.03)</t>
  </si>
  <si>
    <t>2026-05-15</t>
  </si>
  <si>
    <t>20260515002702</t>
  </si>
  <si>
    <t>2Q26</t>
  </si>
  <si>
    <t>제53기 반기(누적 6M)</t>
  </si>
  <si>
    <t>반기보고서(2026.06)</t>
  </si>
  <si>
    <t>2026-08-14</t>
  </si>
  <si>
    <t>20260814002121</t>
  </si>
  <si>
    <t>연간 참고치 — 사업보고서(2024.12)의 비교 열에 실린 과거 연간 수치</t>
  </si>
  <si>
    <t>제49기(2022) 연간</t>
  </si>
  <si>
    <t>사업보고서(2024.12) 비교열</t>
  </si>
  <si>
    <t>제50기(2023) 연간</t>
  </si>
  <si>
    <t>출처: DART 대한광통신 정기보고서 Ⅱ.사업의 내용 › 3.생산 및 설비 (생산능력·생산실적). 원문 링크는 '출처_주석' 시트 참조. INCAB AMERICA LLC는 2026-04-30 지분 90% 취득으로 연결 편입돼 2Q26(2개월분)부터 표에 나타난다.</t>
  </si>
  <si>
    <t>대한광통신 분기별 생산능력·생산실적·가동률 (연결)</t>
  </si>
  <si>
    <t>단위: 억원 (공시 원단위 백만원 ÷ 100) · 누적 공시치의 차분 · 기준일 2026-09-03 · 모든 값은 '원자료_공시누적_백만원' 시트를 참조하는 수식이다.</t>
  </si>
  <si>
    <t>연결 합계</t>
  </si>
  <si>
    <t>통신사업</t>
  </si>
  <si>
    <t>전력사업</t>
  </si>
  <si>
    <t>AL사업(티에프오네트웍스)</t>
  </si>
  <si>
    <t>INCAB AMERICA</t>
  </si>
  <si>
    <t>INCAB 제외 연결</t>
  </si>
  <si>
    <t>생산능력</t>
  </si>
  <si>
    <t>생산실적</t>
  </si>
  <si>
    <t>2024년 합계</t>
  </si>
  <si>
    <t>2025년 합계</t>
  </si>
  <si>
    <t>2026년 상반기 합계</t>
  </si>
  <si>
    <t>과거 연간 실적의 분기평균 — 같은 설비가 과거에 찍어낸 수준(물리적 여유를 재는 잣대)</t>
  </si>
  <si>
    <t>제49기(2022) 연간 ÷4</t>
  </si>
  <si>
    <t>제50기(2023) 연간 ÷4</t>
  </si>
  <si>
    <t>■ 읽는 법</t>
  </si>
  <si>
    <t>· 4Q 값 = 사업보고서 연간 누적치 − 3분기 누적치. 1Q 값 = 1분기 보고서 누적치 그대로.</t>
  </si>
  <si>
    <t>· 글자색: 파랑=공시 원문 하드코딩, 검정=이 시트 내 계산, 초록=다른 시트 참조.</t>
  </si>
  <si>
    <t>· 2Q26 연결 합계는 INCAB AMERICA 2개월분을 포함한다. 시계열 비교는 'INCAB 제외 연결' 열을 쓴다.</t>
  </si>
  <si>
    <t>■ 이 표에서 가동률로 증설 여부를 판단하면 안 되는 이유</t>
  </si>
  <si>
    <t>· 대한광통신은 생산능력을 「당기 생산량에 대한 제조원가금액 기준」으로 산출한다고 공시했다.</t>
  </si>
  <si>
    <t>· 통신사업 개별 분기 가동률은 84.992~85.006%, 전력사업은 69.975~70.013%다. 소수점까지 똑같지는 않다.</t>
  </si>
  <si>
    <t>· 그러나 진폭이 각각 0.014%p, 0.038%p로 백만원 단위 반올림 오차 범위다. 사실상 85%·70% 상수다.</t>
  </si>
  <si>
    <t>· 즉 생산능력 = 생산실적 ÷ 고정비율로 역산된 값이고, 가동률은 설비 여유를 담고 있지 않다.</t>
  </si>
  <si>
    <t>· 예외는 AL사업뿐이다. 1Q24 76.774%, 2Q24 63.807%로 실제 변동이 있었고 3Q24부터 70.0%로 고정됐다.</t>
  </si>
  <si>
    <t>· 합계 가동률이 68.9~80.0% 사이에서 흔들리는 것은 부문 믹스 변화일 뿐이다.</t>
  </si>
  <si>
    <t>· 자릿수까지 확인하려면 '가동률_검증' 시트를 볼 것.</t>
  </si>
  <si>
    <t>· 물리적 여유는 노란 행(2022·2023년 분기평균)과 절대 생산실적을 비교해 가늠한다.</t>
  </si>
  <si>
    <t>· 다만 고밀도 광케이블은 인출 효율이 낮아 같은 금액이 더 많은 설비시간을 먹을 수 있다. 실제 한계는 더 가까울 수 있다.</t>
  </si>
  <si>
    <t>대한광통신 생산능력·생산실적·가동률 추이 (1Q24~2Q26)</t>
  </si>
  <si>
    <t>데이터 원천: '분기별_억원' 시트. 분기가 행이므로 차트의 가로축도 분기다.</t>
  </si>
  <si>
    <t>③ 참고선: 통신사업 2022년 분기평균 235.5억 · 2023년 분기평균 197.9억 (‘분기별_억원’ 시트 노란 행). 2Q26 통신 실적은 190.6억으로 아직 그 아래다.</t>
  </si>
  <si>
    <t>가동률이 정말 분기마다 똑같은가 — 소수점 셋째 자리까지 확인</t>
  </si>
  <si>
    <t>왼쪽은 공시에 실린 누적치 기준, 오른쪽은 그 누적치를 차분해 만든 개별 분기 기준이다. 두 블록 모두 '원자료_공시누적_백만원' 시트를 참조하는 수식이며 표시 자릿수는 0.000%다.</t>
  </si>
  <si>
    <t>누적 공시치 기준</t>
  </si>
  <si>
    <t>개별 분기(차분) 기준</t>
  </si>
  <si>
    <t>통신</t>
  </si>
  <si>
    <t>전력</t>
  </si>
  <si>
    <t>AL</t>
  </si>
  <si>
    <t>최댓값</t>
  </si>
  <si>
    <t>최솟값</t>
  </si>
  <si>
    <t>진폭(%p)</t>
  </si>
  <si>
    <t>■ 결론</t>
  </si>
  <si>
    <t>· 통신·전력은 소수점까지 똑같지는 않다. 통신 84.992~85.006%, 전력 69.975~70.013%다.</t>
  </si>
  <si>
    <t>· 진폭이 통신 0.014%p, 전력 0.038%p에 그친다. 능력을 백만원 단위 정수로 반올림해 공시한 탓에 생기는 오차 크기다.</t>
  </si>
  <si>
    <t>· 검산: 2Q24 통신 분기 실적 12,432 ÷ 0.85 = 14,625.9 → 공시 능력 차분값 14,625. 차이 1백만원 미만.</t>
  </si>
  <si>
    <t>· 따라서 통신 85%, 전력 70%는 실측 가동률이 아니라 회사가 능력을 역산할 때 쓴 고정 계수로 보는 것이 맞다.</t>
  </si>
  <si>
    <t>■ 단 하나의 예외 — AL사업(티에프오네트웍스)</t>
  </si>
  <si>
    <t>· 1Q24 76.774%, 2Q24 63.807%로 실제 변동이 있었고, 3Q24부터 70.000%로 고정됐다.</t>
  </si>
  <si>
    <t>· 즉 AL사업은 2024년 중반에 산출 방식이 바뀐 것으로 보인다. 그 이전 두 분기만 실질 변동을 담고 있다.</t>
  </si>
  <si>
    <t>■ 그래서 무엇을 봐야 하나</t>
  </si>
  <si>
    <t>· 가동률로는 여유 CAPA를 알 수 없다. '분기별_억원' 시트의 절대 생산실적을 노란 참고행과 비교할 것.</t>
  </si>
  <si>
    <t>출처 · 주석 · 검증 메모</t>
  </si>
  <si>
    <t>구분</t>
  </si>
  <si>
    <t>내용</t>
  </si>
  <si>
    <t>일자</t>
  </si>
  <si>
    <t>접수번호 / 링크</t>
  </si>
  <si>
    <t>DART 정기보고서</t>
  </si>
  <si>
    <t>대한광통신 분기보고서(2024.03) — Ⅱ.사업의 내용 › 3.생산 및 설비 (생산능력·생산실적, 백만원)</t>
  </si>
  <si>
    <t>대한광통신 반기보고서(2024.06) — Ⅱ.사업의 내용 › 3.생산 및 설비 (생산능력·생산실적, 백만원)</t>
  </si>
  <si>
    <t>대한광통신 분기보고서(2024.09) — Ⅱ.사업의 내용 › 3.생산 및 설비 (생산능력·생산실적, 백만원)</t>
  </si>
  <si>
    <t>대한광통신 사업보고서(2024.12) — Ⅱ.사업의 내용 › 3.생산 및 설비 (생산능력·생산실적, 백만원)</t>
  </si>
  <si>
    <t>대한광통신 분기보고서(2025.03) — Ⅱ.사업의 내용 › 3.생산 및 설비 (생산능력·생산실적, 백만원)</t>
  </si>
  <si>
    <t>대한광통신 반기보고서(2025.06) — Ⅱ.사업의 내용 › 3.생산 및 설비 (생산능력·생산실적, 백만원)</t>
  </si>
  <si>
    <t>대한광통신 분기보고서(2025.09) — Ⅱ.사업의 내용 › 3.생산 및 설비 (생산능력·생산실적, 백만원)</t>
  </si>
  <si>
    <t>대한광통신 사업보고서(2025.12) — Ⅱ.사업의 내용 › 3.생산 및 설비 (생산능력·생산실적, 백만원)</t>
  </si>
  <si>
    <t>대한광통신 분기보고서(2026.03) — Ⅱ.사업의 내용 › 3.생산 및 설비 (생산능력·생산실적, 백만원)</t>
  </si>
  <si>
    <t>대한광통신 반기보고서(2026.06) — Ⅱ.사업의 내용 › 3.생산 및 설비 (생산능력·생산실적, 백만원)</t>
  </si>
  <si>
    <t>연결 편입</t>
  </si>
  <si>
    <t>INCAB AMERICA LLC 지분 90% 취득으로 지배력 획득 — 반기보고서(2026.06) 연결재무제표 주석에 명시</t>
  </si>
  <si>
    <t>2026-04-30</t>
  </si>
  <si>
    <t>보도 확인</t>
  </si>
  <si>
    <t>인수 완료 보도(뉴시스). 티에프오네트웍스를 통해 최종 지분 90% 확보</t>
  </si>
  <si>
    <t>2026-05-06</t>
  </si>
  <si>
    <t>https://www.newsis.com/view/NISX20260506_0003617990</t>
  </si>
  <si>
    <t>증설 계획</t>
  </si>
  <si>
    <t>10개 보고서 전부 「(2) 설비의 신설·매입 계획 등 — 해당사항 없음」</t>
  </si>
  <si>
    <t>2024-05-16~2026-08-14</t>
  </si>
  <si>
    <t>전 보고서 공통</t>
  </si>
  <si>
    <t>설비 증가</t>
  </si>
  <si>
    <t>2Q26 유형자산 기계장치 당기 증가 143.25억원. 사업소에 GRAPEVINE, TX 추가 — INCAB 연결 편입 효과가 대부분</t>
  </si>
  <si>
    <t>산출근거</t>
  </si>
  <si>
    <t>「당기 생산량에 대한 제조원가금액 기준으로 생산능력 산출」 — 전 보고서 동일 문구</t>
  </si>
  <si>
    <t>평균가동시간</t>
  </si>
  <si>
    <t>대한광통신 24시간×29일×개월수 · 티에프오네트웍스 22시간×21일×개월수 · INCAB 20시간×25일×2개월(2Q26)</t>
  </si>
  <si>
    <t>회계기수</t>
  </si>
  <si>
    <t>제49기=2022년 · 제50기=2023년 · 제51기=2024년 · 제52기=2025년 · 제53기=2026년</t>
  </si>
  <si>
    <t>-</t>
  </si>
  <si>
    <t>작성 기준일</t>
  </si>
  <si>
    <t>2026-09-03 · 최신 반영 공시는 반기보고서(2026.06), 접수 2026-08-14</t>
  </si>
  <si>
    <t>2026-09-03</t>
  </si>
  <si>
    <t>연도·분기(억원)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</si>
</sst>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(#,##0\);\-"/>
    <numFmt numFmtId="177" formatCode="0.0%;\(0.0%\);\-"/>
    <numFmt numFmtId="178" formatCode="#,##0.0;\(#,##0.0\);\-"/>
    <numFmt numFmtId="179" formatCode="0.000%"/>
    <numFmt numFmtId="180" formatCode="0.000"/>
  </numFmts>
  <fonts count="13" x14ac:knownFonts="1">
    <font>
      <sz val="11"/>
      <color theme="1"/>
      <name val="맑은 고딕"/>
      <family val="2"/>
      <scheme val="minor"/>
    </font>
    <font>
      <b/>
      <sz val="13"/>
      <color rgb="FF172B4D"/>
      <name val="맑은 고딕"/>
      <family val="3"/>
      <charset val="129"/>
    </font>
    <font>
      <sz val="9"/>
      <color rgb="FF475467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9"/>
      <color rgb="FF172B4D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8000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i/>
      <sz val="10"/>
      <color rgb="FF008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EAF2FF"/>
      </patternFill>
    </fill>
    <fill>
      <patternFill patternType="solid">
        <fgColor rgb="FFF2F4F7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E0E8"/>
      </left>
      <right style="thin">
        <color rgb="FFD9E0E8"/>
      </right>
      <top style="thin">
        <color rgb="FFD9E0E8"/>
      </top>
      <bottom style="thin">
        <color rgb="FFD9E0E8"/>
      </bottom>
      <diagonal/>
    </border>
    <border>
      <left style="medium">
        <color rgb="FF8FA3BF"/>
      </left>
      <right style="thin">
        <color rgb="FFD9E0E8"/>
      </right>
      <top style="thin">
        <color rgb="FFD9E0E8"/>
      </top>
      <bottom style="thin">
        <color rgb="FFD9E0E8"/>
      </bottom>
      <diagonal/>
    </border>
    <border>
      <left style="thin">
        <color rgb="FFD9E0E8"/>
      </left>
      <right style="medium">
        <color rgb="FF8FA3BF"/>
      </right>
      <top style="thin">
        <color rgb="FFD9E0E8"/>
      </top>
      <bottom style="thin">
        <color rgb="FFD9E0E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76" fontId="5" fillId="0" borderId="1" xfId="0" applyNumberFormat="1" applyFont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0" fontId="6" fillId="3" borderId="0" xfId="0" applyFont="1" applyFill="1"/>
    <xf numFmtId="0" fontId="7" fillId="0" borderId="1" xfId="0" applyFont="1" applyBorder="1" applyAlignment="1">
      <alignment horizontal="center"/>
    </xf>
    <xf numFmtId="178" fontId="4" fillId="0" borderId="2" xfId="0" applyNumberFormat="1" applyFont="1" applyBorder="1"/>
    <xf numFmtId="178" fontId="4" fillId="0" borderId="1" xfId="0" applyNumberFormat="1" applyFont="1" applyBorder="1"/>
    <xf numFmtId="178" fontId="8" fillId="0" borderId="2" xfId="0" applyNumberFormat="1" applyFont="1" applyBorder="1"/>
    <xf numFmtId="178" fontId="8" fillId="0" borderId="1" xfId="0" applyNumberFormat="1" applyFont="1" applyBorder="1"/>
    <xf numFmtId="178" fontId="0" fillId="0" borderId="2" xfId="0" applyNumberFormat="1" applyBorder="1"/>
    <xf numFmtId="178" fontId="0" fillId="0" borderId="1" xfId="0" applyNumberFormat="1" applyBorder="1"/>
    <xf numFmtId="177" fontId="0" fillId="0" borderId="1" xfId="0" applyNumberFormat="1" applyBorder="1"/>
    <xf numFmtId="177" fontId="4" fillId="0" borderId="3" xfId="0" applyNumberFormat="1" applyFont="1" applyBorder="1"/>
    <xf numFmtId="0" fontId="7" fillId="4" borderId="1" xfId="0" applyFont="1" applyFill="1" applyBorder="1" applyAlignment="1">
      <alignment horizontal="center"/>
    </xf>
    <xf numFmtId="178" fontId="4" fillId="4" borderId="2" xfId="0" applyNumberFormat="1" applyFont="1" applyFill="1" applyBorder="1"/>
    <xf numFmtId="178" fontId="4" fillId="4" borderId="1" xfId="0" applyNumberFormat="1" applyFont="1" applyFill="1" applyBorder="1"/>
    <xf numFmtId="177" fontId="4" fillId="4" borderId="1" xfId="0" applyNumberFormat="1" applyFont="1" applyFill="1" applyBorder="1"/>
    <xf numFmtId="178" fontId="8" fillId="4" borderId="2" xfId="0" applyNumberFormat="1" applyFont="1" applyFill="1" applyBorder="1"/>
    <xf numFmtId="178" fontId="8" fillId="4" borderId="1" xfId="0" applyNumberFormat="1" applyFont="1" applyFill="1" applyBorder="1"/>
    <xf numFmtId="178" fontId="0" fillId="4" borderId="2" xfId="0" applyNumberFormat="1" applyFill="1" applyBorder="1"/>
    <xf numFmtId="178" fontId="0" fillId="4" borderId="1" xfId="0" applyNumberFormat="1" applyFill="1" applyBorder="1"/>
    <xf numFmtId="177" fontId="0" fillId="4" borderId="1" xfId="0" applyNumberFormat="1" applyFill="1" applyBorder="1"/>
    <xf numFmtId="177" fontId="4" fillId="4" borderId="3" xfId="0" applyNumberFormat="1" applyFont="1" applyFill="1" applyBorder="1"/>
    <xf numFmtId="0" fontId="7" fillId="3" borderId="1" xfId="0" applyFont="1" applyFill="1" applyBorder="1"/>
    <xf numFmtId="178" fontId="7" fillId="3" borderId="1" xfId="0" applyNumberFormat="1" applyFont="1" applyFill="1" applyBorder="1"/>
    <xf numFmtId="177" fontId="7" fillId="3" borderId="1" xfId="0" applyNumberFormat="1" applyFont="1" applyFill="1" applyBorder="1"/>
    <xf numFmtId="0" fontId="6" fillId="5" borderId="0" xfId="0" applyFont="1" applyFill="1"/>
    <xf numFmtId="0" fontId="9" fillId="5" borderId="1" xfId="0" applyFont="1" applyFill="1" applyBorder="1"/>
    <xf numFmtId="178" fontId="9" fillId="5" borderId="1" xfId="0" applyNumberFormat="1" applyFont="1" applyFill="1" applyBorder="1"/>
    <xf numFmtId="177" fontId="9" fillId="5" borderId="1" xfId="0" applyNumberFormat="1" applyFont="1" applyFill="1" applyBorder="1"/>
    <xf numFmtId="178" fontId="10" fillId="5" borderId="1" xfId="0" applyNumberFormat="1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179" fontId="8" fillId="0" borderId="2" xfId="0" applyNumberFormat="1" applyFont="1" applyBorder="1"/>
    <xf numFmtId="179" fontId="8" fillId="0" borderId="1" xfId="0" applyNumberFormat="1" applyFont="1" applyBorder="1"/>
    <xf numFmtId="179" fontId="4" fillId="3" borderId="1" xfId="0" applyNumberFormat="1" applyFont="1" applyFill="1" applyBorder="1"/>
    <xf numFmtId="0" fontId="7" fillId="5" borderId="1" xfId="0" applyFont="1" applyFill="1" applyBorder="1"/>
    <xf numFmtId="180" fontId="4" fillId="5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0" fontId="11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77" fontId="4" fillId="4" borderId="0" xfId="0" applyNumberFormat="1" applyFont="1" applyFill="1" applyBorder="1"/>
    <xf numFmtId="178" fontId="8" fillId="4" borderId="0" xfId="0" applyNumberFormat="1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t>① 분기별 생산능력 vs 생산실적 (연결 합계, 억원)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분기별_억원!$B$5</c:f>
              <c:strCache>
                <c:ptCount val="1"/>
                <c:pt idx="0">
                  <c:v>생산능력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분기별_억원!$B$6:$B$15</c:f>
              <c:numCache>
                <c:formatCode>#,##0.0;\(#,##0.0\);\-</c:formatCode>
                <c:ptCount val="10"/>
                <c:pt idx="0">
                  <c:v>340.34999999999997</c:v>
                </c:pt>
                <c:pt idx="1">
                  <c:v>365.67</c:v>
                </c:pt>
                <c:pt idx="2">
                  <c:v>428.49</c:v>
                </c:pt>
                <c:pt idx="3">
                  <c:v>411.42</c:v>
                </c:pt>
                <c:pt idx="4">
                  <c:v>304.74</c:v>
                </c:pt>
                <c:pt idx="5">
                  <c:v>347.49</c:v>
                </c:pt>
                <c:pt idx="6">
                  <c:v>259.48</c:v>
                </c:pt>
                <c:pt idx="7">
                  <c:v>273.71000000000004</c:v>
                </c:pt>
                <c:pt idx="8">
                  <c:v>383.65</c:v>
                </c:pt>
                <c:pt idx="9">
                  <c:v>676.64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3-4347-A4FA-98C85B0236F1}"/>
            </c:ext>
          </c:extLst>
        </c:ser>
        <c:ser>
          <c:idx val="1"/>
          <c:order val="1"/>
          <c:tx>
            <c:strRef>
              <c:f>분기별_억원!$C$5</c:f>
              <c:strCache>
                <c:ptCount val="1"/>
                <c:pt idx="0">
                  <c:v>생산실적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분기별_억원!$C$6:$C$15</c:f>
              <c:numCache>
                <c:formatCode>#,##0.0;\(#,##0.0\);\-</c:formatCode>
                <c:ptCount val="10"/>
                <c:pt idx="0">
                  <c:v>272.31</c:v>
                </c:pt>
                <c:pt idx="1">
                  <c:v>265.86</c:v>
                </c:pt>
                <c:pt idx="2">
                  <c:v>316.71000000000004</c:v>
                </c:pt>
                <c:pt idx="3">
                  <c:v>305.3</c:v>
                </c:pt>
                <c:pt idx="4">
                  <c:v>232.47</c:v>
                </c:pt>
                <c:pt idx="5">
                  <c:v>263.94</c:v>
                </c:pt>
                <c:pt idx="6">
                  <c:v>201.4</c:v>
                </c:pt>
                <c:pt idx="7">
                  <c:v>209.58999999999997</c:v>
                </c:pt>
                <c:pt idx="8">
                  <c:v>289.95</c:v>
                </c:pt>
                <c:pt idx="9">
                  <c:v>466.25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3-4347-A4FA-98C85B023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분기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억원</a:t>
                </a:r>
              </a:p>
            </c:rich>
          </c:tx>
          <c:overlay val="1"/>
        </c:title>
        <c:numFmt formatCode="#,##0.0;\(#,##0.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2"/>
  <c:chart>
    <c:title>
      <c:tx>
        <c:rich>
          <a:bodyPr/>
          <a:lstStyle/>
          <a:p>
            <a:pPr>
              <a:defRPr/>
            </a:pPr>
            <a:r>
              <a:t>② 가동률 추이 (%) — 부문별은 산출방식 때문에 평행선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분기별_억원!$D$5</c:f>
              <c:strCache>
                <c:ptCount val="1"/>
                <c:pt idx="0">
                  <c:v>가동률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분기별_억원!$D$6:$D$15</c:f>
              <c:numCache>
                <c:formatCode>0.0%;\(0.0%\);\-</c:formatCode>
                <c:ptCount val="10"/>
                <c:pt idx="0">
                  <c:v>0.80008814455707367</c:v>
                </c:pt>
                <c:pt idx="1">
                  <c:v>0.72704897858725082</c:v>
                </c:pt>
                <c:pt idx="2">
                  <c:v>0.73913043478260876</c:v>
                </c:pt>
                <c:pt idx="3">
                  <c:v>0.74206407077925229</c:v>
                </c:pt>
                <c:pt idx="4">
                  <c:v>0.7628470171293561</c:v>
                </c:pt>
                <c:pt idx="5">
                  <c:v>0.75956142622809286</c:v>
                </c:pt>
                <c:pt idx="6">
                  <c:v>0.77616772005549561</c:v>
                </c:pt>
                <c:pt idx="7">
                  <c:v>0.76573745935479143</c:v>
                </c:pt>
                <c:pt idx="8">
                  <c:v>0.75576697510751989</c:v>
                </c:pt>
                <c:pt idx="9">
                  <c:v>0.68906656419957435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D-40E9-9EBB-39560AA62EC2}"/>
            </c:ext>
          </c:extLst>
        </c:ser>
        <c:ser>
          <c:idx val="1"/>
          <c:order val="1"/>
          <c:tx>
            <c:strRef>
              <c:f>분기별_억원!$G$5</c:f>
              <c:strCache>
                <c:ptCount val="1"/>
                <c:pt idx="0">
                  <c:v>가동률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분기별_억원!$G$6:$G$15</c:f>
              <c:numCache>
                <c:formatCode>0.0%;\(0.0%\);\-</c:formatCode>
                <c:ptCount val="10"/>
                <c:pt idx="0">
                  <c:v>0.84999659238056302</c:v>
                </c:pt>
                <c:pt idx="1">
                  <c:v>0.850051282051282</c:v>
                </c:pt>
                <c:pt idx="2">
                  <c:v>0.84992397817726495</c:v>
                </c:pt>
                <c:pt idx="3">
                  <c:v>0.85006066909343048</c:v>
                </c:pt>
                <c:pt idx="4">
                  <c:v>0.85001566416040097</c:v>
                </c:pt>
                <c:pt idx="5">
                  <c:v>0.84996738421395956</c:v>
                </c:pt>
                <c:pt idx="6">
                  <c:v>0.84998861825631689</c:v>
                </c:pt>
                <c:pt idx="7">
                  <c:v>0.84995417812213614</c:v>
                </c:pt>
                <c:pt idx="8">
                  <c:v>0.84998247458815279</c:v>
                </c:pt>
                <c:pt idx="9">
                  <c:v>0.85002006867948088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D-40E9-9EBB-39560AA62EC2}"/>
            </c:ext>
          </c:extLst>
        </c:ser>
        <c:ser>
          <c:idx val="2"/>
          <c:order val="2"/>
          <c:tx>
            <c:strRef>
              <c:f>분기별_억원!$J$5</c:f>
              <c:strCache>
                <c:ptCount val="1"/>
                <c:pt idx="0">
                  <c:v>가동률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분기별_억원!$J$6:$J$15</c:f>
              <c:numCache>
                <c:formatCode>0.0%;\(0.0%\);\-</c:formatCode>
                <c:ptCount val="10"/>
                <c:pt idx="0">
                  <c:v>0.70006381620931724</c:v>
                </c:pt>
                <c:pt idx="1">
                  <c:v>0.70004037141703679</c:v>
                </c:pt>
                <c:pt idx="2">
                  <c:v>0.70013071895424839</c:v>
                </c:pt>
                <c:pt idx="3">
                  <c:v>0.69975308641975309</c:v>
                </c:pt>
                <c:pt idx="4">
                  <c:v>0.69987146529562982</c:v>
                </c:pt>
                <c:pt idx="5">
                  <c:v>0.70000000000000007</c:v>
                </c:pt>
                <c:pt idx="6">
                  <c:v>0.70012239902080786</c:v>
                </c:pt>
                <c:pt idx="7">
                  <c:v>0.69978665041145993</c:v>
                </c:pt>
                <c:pt idx="8">
                  <c:v>0.69998715148400359</c:v>
                </c:pt>
                <c:pt idx="9">
                  <c:v>0.69990095741168701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CD-40E9-9EBB-39560AA62EC2}"/>
            </c:ext>
          </c:extLst>
        </c:ser>
        <c:ser>
          <c:idx val="3"/>
          <c:order val="3"/>
          <c:tx>
            <c:strRef>
              <c:f>분기별_억원!$M$5</c:f>
              <c:strCache>
                <c:ptCount val="1"/>
                <c:pt idx="0">
                  <c:v>가동률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분기별_억원!$M$6:$M$15</c:f>
              <c:numCache>
                <c:formatCode>0.0%;\(0.0%\);\-</c:formatCode>
                <c:ptCount val="10"/>
                <c:pt idx="0">
                  <c:v>0.7677437482438888</c:v>
                </c:pt>
                <c:pt idx="1">
                  <c:v>0.63806832776778832</c:v>
                </c:pt>
                <c:pt idx="2">
                  <c:v>0.69999640843299937</c:v>
                </c:pt>
                <c:pt idx="3">
                  <c:v>0.69998912215816378</c:v>
                </c:pt>
                <c:pt idx="4">
                  <c:v>0.7</c:v>
                </c:pt>
                <c:pt idx="5">
                  <c:v>0.70003351580828954</c:v>
                </c:pt>
                <c:pt idx="6">
                  <c:v>0.69990787655458309</c:v>
                </c:pt>
                <c:pt idx="7">
                  <c:v>0.7000082733515347</c:v>
                </c:pt>
                <c:pt idx="8">
                  <c:v>0.70000612857755717</c:v>
                </c:pt>
                <c:pt idx="9">
                  <c:v>0.6999924058323207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CD-40E9-9EBB-39560AA6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분기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가동률</a:t>
                </a:r>
              </a:p>
            </c:rich>
          </c:tx>
          <c:overlay val="1"/>
        </c:title>
        <c:numFmt formatCode="0.0%;\(0.0%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2"/>
  <c:chart>
    <c:title>
      <c:tx>
        <c:rich>
          <a:bodyPr/>
          <a:lstStyle/>
          <a:p>
            <a:pPr>
              <a:defRPr/>
            </a:pPr>
            <a:r>
              <a:t>③ 부문별 분기 생산실적 (억원) — 노란 참고행과 비교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분기별_억원!$F$5</c:f>
              <c:strCache>
                <c:ptCount val="1"/>
                <c:pt idx="0">
                  <c:v>생산실적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분기별_억원!$F$6:$F$15</c:f>
              <c:numCache>
                <c:formatCode>#,##0.0;\(#,##0.0\);\-</c:formatCode>
                <c:ptCount val="10"/>
                <c:pt idx="0">
                  <c:v>124.72</c:v>
                </c:pt>
                <c:pt idx="1">
                  <c:v>124.32</c:v>
                </c:pt>
                <c:pt idx="2">
                  <c:v>95.03</c:v>
                </c:pt>
                <c:pt idx="3">
                  <c:v>98.08</c:v>
                </c:pt>
                <c:pt idx="4">
                  <c:v>108.53</c:v>
                </c:pt>
                <c:pt idx="5">
                  <c:v>117.27</c:v>
                </c:pt>
                <c:pt idx="6">
                  <c:v>112.02</c:v>
                </c:pt>
                <c:pt idx="7">
                  <c:v>102.02</c:v>
                </c:pt>
                <c:pt idx="8">
                  <c:v>121.25</c:v>
                </c:pt>
                <c:pt idx="9">
                  <c:v>190.6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6-482B-9DA0-FE965F192B6D}"/>
            </c:ext>
          </c:extLst>
        </c:ser>
        <c:ser>
          <c:idx val="1"/>
          <c:order val="1"/>
          <c:tx>
            <c:strRef>
              <c:f>분기별_억원!$I$5</c:f>
              <c:strCache>
                <c:ptCount val="1"/>
                <c:pt idx="0">
                  <c:v>생산실적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분기별_억원!$I$6:$I$15</c:f>
              <c:numCache>
                <c:formatCode>#,##0.0;\(#,##0.0\);\-</c:formatCode>
                <c:ptCount val="10"/>
                <c:pt idx="0">
                  <c:v>10.97</c:v>
                </c:pt>
                <c:pt idx="1">
                  <c:v>17.34</c:v>
                </c:pt>
                <c:pt idx="2">
                  <c:v>26.78</c:v>
                </c:pt>
                <c:pt idx="3">
                  <c:v>14.17</c:v>
                </c:pt>
                <c:pt idx="4">
                  <c:v>10.89</c:v>
                </c:pt>
                <c:pt idx="5">
                  <c:v>21.35</c:v>
                </c:pt>
                <c:pt idx="6">
                  <c:v>28.6</c:v>
                </c:pt>
                <c:pt idx="7">
                  <c:v>22.96</c:v>
                </c:pt>
                <c:pt idx="8">
                  <c:v>54.48</c:v>
                </c:pt>
                <c:pt idx="9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6-482B-9DA0-FE965F192B6D}"/>
            </c:ext>
          </c:extLst>
        </c:ser>
        <c:ser>
          <c:idx val="2"/>
          <c:order val="2"/>
          <c:tx>
            <c:strRef>
              <c:f>분기별_억원!$L$5</c:f>
              <c:strCache>
                <c:ptCount val="1"/>
                <c:pt idx="0">
                  <c:v>생산실적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분기별_억원!$A$6:$A$15</c:f>
              <c:strCache>
                <c:ptCount val="10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</c:v>
                </c:pt>
              </c:strCache>
            </c:strRef>
          </c:cat>
          <c:val>
            <c:numRef>
              <c:f>분기별_억원!$L$6:$L$15</c:f>
              <c:numCache>
                <c:formatCode>#,##0.0;\(#,##0.0\);\-</c:formatCode>
                <c:ptCount val="10"/>
                <c:pt idx="0">
                  <c:v>136.62</c:v>
                </c:pt>
                <c:pt idx="1">
                  <c:v>124.2</c:v>
                </c:pt>
                <c:pt idx="2">
                  <c:v>194.9</c:v>
                </c:pt>
                <c:pt idx="3">
                  <c:v>193.05</c:v>
                </c:pt>
                <c:pt idx="4">
                  <c:v>113.05</c:v>
                </c:pt>
                <c:pt idx="5">
                  <c:v>125.32</c:v>
                </c:pt>
                <c:pt idx="6">
                  <c:v>60.78</c:v>
                </c:pt>
                <c:pt idx="7">
                  <c:v>84.61</c:v>
                </c:pt>
                <c:pt idx="8">
                  <c:v>114.22</c:v>
                </c:pt>
                <c:pt idx="9">
                  <c:v>184.35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6-482B-9DA0-FE965F192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분기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억원</a:t>
                </a:r>
              </a:p>
            </c:rich>
          </c:tx>
          <c:overlay val="1"/>
        </c:title>
        <c:numFmt formatCode="#,##0.0;\(#,##0.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86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864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rt.fss.or.kr/dsaf001/main.do?rcpNo=20260319000854" TargetMode="External"/><Relationship Id="rId3" Type="http://schemas.openxmlformats.org/officeDocument/2006/relationships/hyperlink" Target="https://dart.fss.or.kr/dsaf001/main.do?rcpNo=20241114002336" TargetMode="External"/><Relationship Id="rId7" Type="http://schemas.openxmlformats.org/officeDocument/2006/relationships/hyperlink" Target="https://dart.fss.or.kr/dsaf001/main.do?rcpNo=20251112000555" TargetMode="External"/><Relationship Id="rId2" Type="http://schemas.openxmlformats.org/officeDocument/2006/relationships/hyperlink" Target="https://dart.fss.or.kr/dsaf001/main.do?rcpNo=20240814004417" TargetMode="External"/><Relationship Id="rId1" Type="http://schemas.openxmlformats.org/officeDocument/2006/relationships/hyperlink" Target="https://dart.fss.or.kr/dsaf001/main.do?rcpNo=20240516002096" TargetMode="External"/><Relationship Id="rId6" Type="http://schemas.openxmlformats.org/officeDocument/2006/relationships/hyperlink" Target="https://dart.fss.or.kr/dsaf001/main.do?rcpNo=20250814003634" TargetMode="External"/><Relationship Id="rId11" Type="http://schemas.openxmlformats.org/officeDocument/2006/relationships/hyperlink" Target="https://www.newsis.com/view/NISX20260506_0003617990" TargetMode="External"/><Relationship Id="rId5" Type="http://schemas.openxmlformats.org/officeDocument/2006/relationships/hyperlink" Target="https://dart.fss.or.kr/dsaf001/main.do?rcpNo=20250514001227" TargetMode="External"/><Relationship Id="rId10" Type="http://schemas.openxmlformats.org/officeDocument/2006/relationships/hyperlink" Target="https://dart.fss.or.kr/dsaf001/main.do?rcpNo=20260814002121" TargetMode="External"/><Relationship Id="rId4" Type="http://schemas.openxmlformats.org/officeDocument/2006/relationships/hyperlink" Target="https://dart.fss.or.kr/dsaf001/main.do?rcpNo=20250320001578" TargetMode="External"/><Relationship Id="rId9" Type="http://schemas.openxmlformats.org/officeDocument/2006/relationships/hyperlink" Target="https://dart.fss.or.kr/dsaf001/main.do?rcpNo=20260515002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E1" sqref="E1:E1048576"/>
    </sheetView>
  </sheetViews>
  <sheetFormatPr defaultRowHeight="17.399999999999999" x14ac:dyDescent="0.4"/>
  <cols>
    <col min="1" max="1" width="9" customWidth="1"/>
    <col min="2" max="2" width="22" customWidth="1"/>
    <col min="3" max="3" width="20" customWidth="1"/>
    <col min="4" max="10" width="11" customWidth="1"/>
    <col min="11" max="14" width="13" customWidth="1"/>
    <col min="15" max="16" width="11" customWidth="1"/>
    <col min="17" max="17" width="9" customWidth="1"/>
  </cols>
  <sheetData>
    <row r="1" spans="1:17" ht="20.399999999999999" x14ac:dyDescent="0.45">
      <c r="A1" s="1" t="s">
        <v>0</v>
      </c>
    </row>
    <row r="2" spans="1:17" x14ac:dyDescent="0.4">
      <c r="A2" s="2" t="s">
        <v>1</v>
      </c>
    </row>
    <row r="4" spans="1:17" ht="31.2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4">
      <c r="A5" s="4" t="s">
        <v>19</v>
      </c>
      <c r="B5" s="4" t="s">
        <v>20</v>
      </c>
      <c r="C5" s="4" t="s">
        <v>21</v>
      </c>
      <c r="D5" s="4" t="s">
        <v>22</v>
      </c>
      <c r="E5" s="5">
        <v>14673</v>
      </c>
      <c r="F5" s="5">
        <v>12472</v>
      </c>
      <c r="G5" s="5">
        <v>1567</v>
      </c>
      <c r="H5" s="5">
        <v>1097</v>
      </c>
      <c r="I5" s="5">
        <v>17795</v>
      </c>
      <c r="J5" s="5">
        <v>13662</v>
      </c>
      <c r="K5" s="5"/>
      <c r="L5" s="5"/>
      <c r="M5" s="5"/>
      <c r="N5" s="5"/>
      <c r="O5" s="6">
        <f t="shared" ref="O5:O14" si="0">SUM(E5,G5,I5,K5,M5)</f>
        <v>34035</v>
      </c>
      <c r="P5" s="6">
        <f t="shared" ref="P5:P14" si="1">SUM(F5,H5,J5,L5,N5)</f>
        <v>27231</v>
      </c>
      <c r="Q5" s="7">
        <f t="shared" ref="Q5:Q14" si="2">IF(O5=0,"",P5/O5)</f>
        <v>0.80008814455707356</v>
      </c>
    </row>
    <row r="6" spans="1:17" x14ac:dyDescent="0.4">
      <c r="A6" s="4" t="s">
        <v>24</v>
      </c>
      <c r="B6" s="4" t="s">
        <v>25</v>
      </c>
      <c r="C6" s="4" t="s">
        <v>26</v>
      </c>
      <c r="D6" s="4" t="s">
        <v>27</v>
      </c>
      <c r="E6" s="5">
        <v>29298</v>
      </c>
      <c r="F6" s="5">
        <v>24904</v>
      </c>
      <c r="G6" s="5">
        <v>4044</v>
      </c>
      <c r="H6" s="5">
        <v>2831</v>
      </c>
      <c r="I6" s="5">
        <v>37260</v>
      </c>
      <c r="J6" s="5">
        <v>26082</v>
      </c>
      <c r="K6" s="5"/>
      <c r="L6" s="5"/>
      <c r="M6" s="5"/>
      <c r="N6" s="5"/>
      <c r="O6" s="6">
        <f t="shared" si="0"/>
        <v>70602</v>
      </c>
      <c r="P6" s="6">
        <f t="shared" si="1"/>
        <v>53817</v>
      </c>
      <c r="Q6" s="7">
        <f t="shared" si="2"/>
        <v>0.76225885952239314</v>
      </c>
    </row>
    <row r="7" spans="1:17" x14ac:dyDescent="0.4">
      <c r="A7" s="4" t="s">
        <v>29</v>
      </c>
      <c r="B7" s="4" t="s">
        <v>30</v>
      </c>
      <c r="C7" s="4" t="s">
        <v>31</v>
      </c>
      <c r="D7" s="4" t="s">
        <v>32</v>
      </c>
      <c r="E7" s="5">
        <v>40479</v>
      </c>
      <c r="F7" s="5">
        <v>34407</v>
      </c>
      <c r="G7" s="5">
        <v>7869</v>
      </c>
      <c r="H7" s="5">
        <v>5509</v>
      </c>
      <c r="I7" s="5">
        <v>65103</v>
      </c>
      <c r="J7" s="5">
        <v>45572</v>
      </c>
      <c r="K7" s="5"/>
      <c r="L7" s="5"/>
      <c r="M7" s="5"/>
      <c r="N7" s="5"/>
      <c r="O7" s="6">
        <f t="shared" si="0"/>
        <v>113451</v>
      </c>
      <c r="P7" s="6">
        <f t="shared" si="1"/>
        <v>85488</v>
      </c>
      <c r="Q7" s="7">
        <f t="shared" si="2"/>
        <v>0.75352354761086282</v>
      </c>
    </row>
    <row r="8" spans="1:17" x14ac:dyDescent="0.4">
      <c r="A8" s="4" t="s">
        <v>34</v>
      </c>
      <c r="B8" s="4" t="s">
        <v>35</v>
      </c>
      <c r="C8" s="4" t="s">
        <v>36</v>
      </c>
      <c r="D8" s="4" t="s">
        <v>37</v>
      </c>
      <c r="E8" s="5">
        <v>52017</v>
      </c>
      <c r="F8" s="5">
        <v>44215</v>
      </c>
      <c r="G8" s="5">
        <v>9894</v>
      </c>
      <c r="H8" s="5">
        <v>6926</v>
      </c>
      <c r="I8" s="5">
        <v>92682</v>
      </c>
      <c r="J8" s="5">
        <v>64877</v>
      </c>
      <c r="K8" s="5"/>
      <c r="L8" s="5"/>
      <c r="M8" s="5"/>
      <c r="N8" s="5"/>
      <c r="O8" s="6">
        <f t="shared" si="0"/>
        <v>154593</v>
      </c>
      <c r="P8" s="6">
        <f t="shared" si="1"/>
        <v>116018</v>
      </c>
      <c r="Q8" s="7">
        <f t="shared" si="2"/>
        <v>0.75047382481742386</v>
      </c>
    </row>
    <row r="9" spans="1:17" x14ac:dyDescent="0.4">
      <c r="A9" s="4" t="s">
        <v>39</v>
      </c>
      <c r="B9" s="4" t="s">
        <v>40</v>
      </c>
      <c r="C9" s="4" t="s">
        <v>41</v>
      </c>
      <c r="D9" s="4" t="s">
        <v>42</v>
      </c>
      <c r="E9" s="5">
        <v>12768</v>
      </c>
      <c r="F9" s="5">
        <v>10853</v>
      </c>
      <c r="G9" s="5">
        <v>1556</v>
      </c>
      <c r="H9" s="5">
        <v>1089</v>
      </c>
      <c r="I9" s="5">
        <v>16150</v>
      </c>
      <c r="J9" s="5">
        <v>11305</v>
      </c>
      <c r="K9" s="5"/>
      <c r="L9" s="5"/>
      <c r="M9" s="5"/>
      <c r="N9" s="5"/>
      <c r="O9" s="6">
        <f t="shared" si="0"/>
        <v>30474</v>
      </c>
      <c r="P9" s="6">
        <f t="shared" si="1"/>
        <v>23247</v>
      </c>
      <c r="Q9" s="7">
        <f t="shared" si="2"/>
        <v>0.76284701712935621</v>
      </c>
    </row>
    <row r="10" spans="1:17" x14ac:dyDescent="0.4">
      <c r="A10" s="4" t="s">
        <v>44</v>
      </c>
      <c r="B10" s="4" t="s">
        <v>45</v>
      </c>
      <c r="C10" s="4" t="s">
        <v>46</v>
      </c>
      <c r="D10" s="4" t="s">
        <v>47</v>
      </c>
      <c r="E10" s="5">
        <v>26565</v>
      </c>
      <c r="F10" s="5">
        <v>22580</v>
      </c>
      <c r="G10" s="5">
        <v>4606</v>
      </c>
      <c r="H10" s="5">
        <v>3224</v>
      </c>
      <c r="I10" s="5">
        <v>34052</v>
      </c>
      <c r="J10" s="5">
        <v>23837</v>
      </c>
      <c r="K10" s="5"/>
      <c r="L10" s="5"/>
      <c r="M10" s="5"/>
      <c r="N10" s="5"/>
      <c r="O10" s="6">
        <f t="shared" si="0"/>
        <v>65223</v>
      </c>
      <c r="P10" s="6">
        <f t="shared" si="1"/>
        <v>49641</v>
      </c>
      <c r="Q10" s="7">
        <f t="shared" si="2"/>
        <v>0.76109654569707008</v>
      </c>
    </row>
    <row r="11" spans="1:17" x14ac:dyDescent="0.4">
      <c r="A11" s="4" t="s">
        <v>49</v>
      </c>
      <c r="B11" s="4" t="s">
        <v>50</v>
      </c>
      <c r="C11" s="4" t="s">
        <v>51</v>
      </c>
      <c r="D11" s="4" t="s">
        <v>52</v>
      </c>
      <c r="E11" s="5">
        <v>39744</v>
      </c>
      <c r="F11" s="5">
        <v>33782</v>
      </c>
      <c r="G11" s="5">
        <v>8691</v>
      </c>
      <c r="H11" s="5">
        <v>6084</v>
      </c>
      <c r="I11" s="5">
        <v>42736</v>
      </c>
      <c r="J11" s="5">
        <v>29915</v>
      </c>
      <c r="K11" s="5"/>
      <c r="L11" s="5"/>
      <c r="M11" s="5"/>
      <c r="N11" s="5"/>
      <c r="O11" s="6">
        <f t="shared" si="0"/>
        <v>91171</v>
      </c>
      <c r="P11" s="6">
        <f t="shared" si="1"/>
        <v>69781</v>
      </c>
      <c r="Q11" s="7">
        <f t="shared" si="2"/>
        <v>0.76538592315538934</v>
      </c>
    </row>
    <row r="12" spans="1:17" x14ac:dyDescent="0.4">
      <c r="A12" s="4" t="s">
        <v>54</v>
      </c>
      <c r="B12" s="4" t="s">
        <v>55</v>
      </c>
      <c r="C12" s="4" t="s">
        <v>56</v>
      </c>
      <c r="D12" s="4" t="s">
        <v>57</v>
      </c>
      <c r="E12" s="5">
        <v>51747</v>
      </c>
      <c r="F12" s="5">
        <v>43984</v>
      </c>
      <c r="G12" s="5">
        <v>11972</v>
      </c>
      <c r="H12" s="5">
        <v>8380</v>
      </c>
      <c r="I12" s="5">
        <v>54823</v>
      </c>
      <c r="J12" s="5">
        <v>38376</v>
      </c>
      <c r="K12" s="5"/>
      <c r="L12" s="5"/>
      <c r="M12" s="5"/>
      <c r="N12" s="5"/>
      <c r="O12" s="6">
        <f t="shared" si="0"/>
        <v>118542</v>
      </c>
      <c r="P12" s="6">
        <f t="shared" si="1"/>
        <v>90740</v>
      </c>
      <c r="Q12" s="7">
        <f t="shared" si="2"/>
        <v>0.76546709183243067</v>
      </c>
    </row>
    <row r="13" spans="1:17" x14ac:dyDescent="0.4">
      <c r="A13" s="4" t="s">
        <v>59</v>
      </c>
      <c r="B13" s="4" t="s">
        <v>60</v>
      </c>
      <c r="C13" s="4" t="s">
        <v>61</v>
      </c>
      <c r="D13" s="4" t="s">
        <v>62</v>
      </c>
      <c r="E13" s="5">
        <v>14265</v>
      </c>
      <c r="F13" s="5">
        <v>12125</v>
      </c>
      <c r="G13" s="5">
        <v>7783</v>
      </c>
      <c r="H13" s="5">
        <v>5448</v>
      </c>
      <c r="I13" s="5">
        <v>16317</v>
      </c>
      <c r="J13" s="5">
        <v>11422</v>
      </c>
      <c r="K13" s="5"/>
      <c r="L13" s="5"/>
      <c r="M13" s="5"/>
      <c r="N13" s="5"/>
      <c r="O13" s="6">
        <f t="shared" si="0"/>
        <v>38365</v>
      </c>
      <c r="P13" s="6">
        <f t="shared" si="1"/>
        <v>28995</v>
      </c>
      <c r="Q13" s="7">
        <f t="shared" si="2"/>
        <v>0.75576697510751989</v>
      </c>
    </row>
    <row r="14" spans="1:17" x14ac:dyDescent="0.4">
      <c r="A14" s="4" t="s">
        <v>64</v>
      </c>
      <c r="B14" s="4" t="s">
        <v>65</v>
      </c>
      <c r="C14" s="4" t="s">
        <v>66</v>
      </c>
      <c r="D14" s="4" t="s">
        <v>67</v>
      </c>
      <c r="E14" s="5">
        <v>36688</v>
      </c>
      <c r="F14" s="5">
        <v>31185</v>
      </c>
      <c r="G14" s="5">
        <v>10812</v>
      </c>
      <c r="H14" s="5">
        <v>7568</v>
      </c>
      <c r="I14" s="5">
        <v>42653</v>
      </c>
      <c r="J14" s="5">
        <v>29857</v>
      </c>
      <c r="K14" s="5">
        <v>3951</v>
      </c>
      <c r="L14" s="5">
        <v>2372</v>
      </c>
      <c r="M14" s="5">
        <v>11925</v>
      </c>
      <c r="N14" s="5">
        <v>4638</v>
      </c>
      <c r="O14" s="6">
        <f t="shared" si="0"/>
        <v>106029</v>
      </c>
      <c r="P14" s="6">
        <f t="shared" si="1"/>
        <v>75620</v>
      </c>
      <c r="Q14" s="7">
        <f t="shared" si="2"/>
        <v>0.7132011053579681</v>
      </c>
    </row>
    <row r="16" spans="1:17" x14ac:dyDescent="0.4">
      <c r="A16" s="8" t="s">
        <v>69</v>
      </c>
    </row>
    <row r="17" spans="1:17" x14ac:dyDescent="0.4">
      <c r="A17" s="4" t="s">
        <v>70</v>
      </c>
      <c r="B17" s="4" t="s">
        <v>71</v>
      </c>
      <c r="C17" s="4"/>
      <c r="D17" s="4" t="s">
        <v>37</v>
      </c>
      <c r="E17" s="5">
        <v>110832</v>
      </c>
      <c r="F17" s="5">
        <v>94208</v>
      </c>
      <c r="G17" s="5">
        <v>8987</v>
      </c>
      <c r="H17" s="5">
        <v>6291</v>
      </c>
      <c r="I17" s="5">
        <v>61631</v>
      </c>
      <c r="J17" s="5">
        <v>47317</v>
      </c>
      <c r="O17" s="6">
        <f>SUM(E17,G17,I17)</f>
        <v>181450</v>
      </c>
      <c r="P17" s="6">
        <f>SUM(F17,H17,J17)</f>
        <v>147816</v>
      </c>
      <c r="Q17" s="7">
        <f>IF(O17=0,"",P17/O17)</f>
        <v>0.81463764122347759</v>
      </c>
    </row>
    <row r="18" spans="1:17" x14ac:dyDescent="0.4">
      <c r="A18" s="4" t="s">
        <v>72</v>
      </c>
      <c r="B18" s="4" t="s">
        <v>71</v>
      </c>
      <c r="C18" s="4"/>
      <c r="D18" s="4" t="s">
        <v>37</v>
      </c>
      <c r="E18" s="5">
        <v>93136</v>
      </c>
      <c r="F18" s="5">
        <v>79165</v>
      </c>
      <c r="G18" s="5">
        <v>13500</v>
      </c>
      <c r="H18" s="5">
        <v>9450</v>
      </c>
      <c r="I18" s="5">
        <v>66753</v>
      </c>
      <c r="J18" s="5">
        <v>51249</v>
      </c>
      <c r="O18" s="6">
        <f>SUM(E18,G18,I18)</f>
        <v>173389</v>
      </c>
      <c r="P18" s="6">
        <f>SUM(F18,H18,J18)</f>
        <v>139864</v>
      </c>
      <c r="Q18" s="7">
        <f>IF(O18=0,"",P18/O18)</f>
        <v>0.80664863399638964</v>
      </c>
    </row>
    <row r="20" spans="1:17" x14ac:dyDescent="0.4">
      <c r="A20" s="2" t="s">
        <v>73</v>
      </c>
    </row>
  </sheetData>
  <phoneticPr fontId="12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"/>
  <sheetViews>
    <sheetView showGridLines="0" tabSelected="1" workbookViewId="0">
      <pane xSplit="1" ySplit="5" topLeftCell="B10" activePane="bottomRight" state="frozen"/>
      <selection pane="topRight"/>
      <selection pane="bottomLeft"/>
      <selection pane="bottomRight" activeCell="K11" sqref="K11"/>
    </sheetView>
  </sheetViews>
  <sheetFormatPr defaultRowHeight="17.399999999999999" x14ac:dyDescent="0.4"/>
  <cols>
    <col min="1" max="1" width="22" customWidth="1"/>
    <col min="2" max="19" width="10.5" customWidth="1"/>
  </cols>
  <sheetData>
    <row r="1" spans="1:19" ht="20.399999999999999" x14ac:dyDescent="0.45">
      <c r="A1" s="1" t="s">
        <v>74</v>
      </c>
    </row>
    <row r="2" spans="1:19" x14ac:dyDescent="0.4">
      <c r="A2" s="2" t="s">
        <v>75</v>
      </c>
    </row>
    <row r="4" spans="1:19" x14ac:dyDescent="0.4">
      <c r="A4" s="48" t="s">
        <v>166</v>
      </c>
      <c r="B4" s="45" t="s">
        <v>76</v>
      </c>
      <c r="C4" s="46"/>
      <c r="D4" s="47"/>
      <c r="E4" s="45" t="s">
        <v>77</v>
      </c>
      <c r="F4" s="46"/>
      <c r="G4" s="47"/>
      <c r="H4" s="45" t="s">
        <v>78</v>
      </c>
      <c r="I4" s="46"/>
      <c r="J4" s="47"/>
      <c r="K4" s="45" t="s">
        <v>79</v>
      </c>
      <c r="L4" s="46"/>
      <c r="M4" s="47"/>
      <c r="N4" s="45" t="s">
        <v>81</v>
      </c>
      <c r="O4" s="46"/>
      <c r="P4" s="47"/>
      <c r="Q4" s="45" t="s">
        <v>80</v>
      </c>
      <c r="R4" s="46"/>
      <c r="S4" s="47"/>
    </row>
    <row r="5" spans="1:19" x14ac:dyDescent="0.4">
      <c r="A5" s="49"/>
      <c r="B5" s="3" t="s">
        <v>82</v>
      </c>
      <c r="C5" s="3" t="s">
        <v>83</v>
      </c>
      <c r="D5" s="3" t="s">
        <v>18</v>
      </c>
      <c r="E5" s="3" t="s">
        <v>82</v>
      </c>
      <c r="F5" s="3" t="s">
        <v>83</v>
      </c>
      <c r="G5" s="3" t="s">
        <v>18</v>
      </c>
      <c r="H5" s="3" t="s">
        <v>82</v>
      </c>
      <c r="I5" s="3" t="s">
        <v>83</v>
      </c>
      <c r="J5" s="3" t="s">
        <v>18</v>
      </c>
      <c r="K5" s="3" t="s">
        <v>82</v>
      </c>
      <c r="L5" s="3" t="s">
        <v>83</v>
      </c>
      <c r="M5" s="3" t="s">
        <v>18</v>
      </c>
      <c r="N5" s="3" t="s">
        <v>82</v>
      </c>
      <c r="O5" s="3" t="s">
        <v>83</v>
      </c>
      <c r="P5" s="3" t="s">
        <v>18</v>
      </c>
      <c r="Q5" s="3" t="s">
        <v>82</v>
      </c>
      <c r="R5" s="3" t="s">
        <v>83</v>
      </c>
      <c r="S5" s="3" t="s">
        <v>18</v>
      </c>
    </row>
    <row r="6" spans="1:19" x14ac:dyDescent="0.4">
      <c r="A6" s="9" t="s">
        <v>19</v>
      </c>
      <c r="B6" s="10">
        <f>E6+H6+K6+IF(Q6="",0,Q6)</f>
        <v>340.34999999999997</v>
      </c>
      <c r="C6" s="11">
        <f>F6+I6+L6+IF(R6="",0,R6)</f>
        <v>272.31</v>
      </c>
      <c r="D6" s="7">
        <f t="shared" ref="D6:D15" si="0">IF(B6=0,"",C6/B6)</f>
        <v>0.80008814455707367</v>
      </c>
      <c r="E6" s="12">
        <f>원자료_공시누적_백만원!E5/100</f>
        <v>146.72999999999999</v>
      </c>
      <c r="F6" s="13">
        <f>원자료_공시누적_백만원!F5/100</f>
        <v>124.72</v>
      </c>
      <c r="G6" s="7">
        <f t="shared" ref="G6:G15" si="1">IF(E6=0,"",F6/E6)</f>
        <v>0.84999659238056302</v>
      </c>
      <c r="H6" s="12">
        <f>원자료_공시누적_백만원!G5/100</f>
        <v>15.67</v>
      </c>
      <c r="I6" s="13">
        <f>원자료_공시누적_백만원!H5/100</f>
        <v>10.97</v>
      </c>
      <c r="J6" s="7">
        <f t="shared" ref="J6:J15" si="2">IF(H6=0,"",I6/H6)</f>
        <v>0.70006381620931724</v>
      </c>
      <c r="K6" s="12">
        <f>원자료_공시누적_백만원!I5/100</f>
        <v>177.95</v>
      </c>
      <c r="L6" s="13">
        <f>원자료_공시누적_백만원!J5/100</f>
        <v>136.62</v>
      </c>
      <c r="M6" s="7">
        <f t="shared" ref="M6:M15" si="3">IF(K6=0,"",L6/K6)</f>
        <v>0.7677437482438888</v>
      </c>
      <c r="N6" s="10">
        <f>E6+H6+K6</f>
        <v>340.34999999999997</v>
      </c>
      <c r="O6" s="11">
        <f>F6+I6+L6</f>
        <v>272.31</v>
      </c>
      <c r="P6" s="17">
        <f t="shared" ref="P6:P15" si="4">IF(N6=0,"",O6/N6)</f>
        <v>0.80008814455707367</v>
      </c>
      <c r="Q6" s="14"/>
      <c r="R6" s="15"/>
      <c r="S6" s="16"/>
    </row>
    <row r="7" spans="1:19" x14ac:dyDescent="0.4">
      <c r="A7" s="9" t="s">
        <v>24</v>
      </c>
      <c r="B7" s="10">
        <f>E7+H7+K7+IF(Q7="",0,Q7)</f>
        <v>365.67</v>
      </c>
      <c r="C7" s="11">
        <f>F7+I7+L7+IF(R7="",0,R7)</f>
        <v>265.86</v>
      </c>
      <c r="D7" s="7">
        <f t="shared" si="0"/>
        <v>0.72704897858725082</v>
      </c>
      <c r="E7" s="12">
        <f>(원자료_공시누적_백만원!E6-원자료_공시누적_백만원!E5)/100</f>
        <v>146.25</v>
      </c>
      <c r="F7" s="13">
        <f>(원자료_공시누적_백만원!F6-원자료_공시누적_백만원!F5)/100</f>
        <v>124.32</v>
      </c>
      <c r="G7" s="7">
        <f t="shared" si="1"/>
        <v>0.850051282051282</v>
      </c>
      <c r="H7" s="12">
        <f>(원자료_공시누적_백만원!G6-원자료_공시누적_백만원!G5)/100</f>
        <v>24.77</v>
      </c>
      <c r="I7" s="13">
        <f>(원자료_공시누적_백만원!H6-원자료_공시누적_백만원!H5)/100</f>
        <v>17.34</v>
      </c>
      <c r="J7" s="7">
        <f t="shared" si="2"/>
        <v>0.70004037141703679</v>
      </c>
      <c r="K7" s="12">
        <f>(원자료_공시누적_백만원!I6-원자료_공시누적_백만원!I5)/100</f>
        <v>194.65</v>
      </c>
      <c r="L7" s="13">
        <f>(원자료_공시누적_백만원!J6-원자료_공시누적_백만원!J5)/100</f>
        <v>124.2</v>
      </c>
      <c r="M7" s="7">
        <f t="shared" si="3"/>
        <v>0.63806832776778832</v>
      </c>
      <c r="N7" s="10">
        <f>E7+H7+K7</f>
        <v>365.67</v>
      </c>
      <c r="O7" s="11">
        <f>F7+I7+L7</f>
        <v>265.86</v>
      </c>
      <c r="P7" s="17">
        <f t="shared" si="4"/>
        <v>0.72704897858725082</v>
      </c>
      <c r="Q7" s="14"/>
      <c r="R7" s="15"/>
      <c r="S7" s="16"/>
    </row>
    <row r="8" spans="1:19" x14ac:dyDescent="0.4">
      <c r="A8" s="9" t="s">
        <v>29</v>
      </c>
      <c r="B8" s="10">
        <f>E8+H8+K8+IF(Q8="",0,Q8)</f>
        <v>428.49</v>
      </c>
      <c r="C8" s="11">
        <f>F8+I8+L8+IF(R8="",0,R8)</f>
        <v>316.71000000000004</v>
      </c>
      <c r="D8" s="7">
        <f t="shared" si="0"/>
        <v>0.73913043478260876</v>
      </c>
      <c r="E8" s="12">
        <f>(원자료_공시누적_백만원!E7-원자료_공시누적_백만원!E6)/100</f>
        <v>111.81</v>
      </c>
      <c r="F8" s="13">
        <f>(원자료_공시누적_백만원!F7-원자료_공시누적_백만원!F6)/100</f>
        <v>95.03</v>
      </c>
      <c r="G8" s="7">
        <f t="shared" si="1"/>
        <v>0.84992397817726495</v>
      </c>
      <c r="H8" s="12">
        <f>(원자료_공시누적_백만원!G7-원자료_공시누적_백만원!G6)/100</f>
        <v>38.25</v>
      </c>
      <c r="I8" s="13">
        <f>(원자료_공시누적_백만원!H7-원자료_공시누적_백만원!H6)/100</f>
        <v>26.78</v>
      </c>
      <c r="J8" s="7">
        <f t="shared" si="2"/>
        <v>0.70013071895424839</v>
      </c>
      <c r="K8" s="12">
        <f>(원자료_공시누적_백만원!I7-원자료_공시누적_백만원!I6)/100</f>
        <v>278.43</v>
      </c>
      <c r="L8" s="13">
        <f>(원자료_공시누적_백만원!J7-원자료_공시누적_백만원!J6)/100</f>
        <v>194.9</v>
      </c>
      <c r="M8" s="7">
        <f t="shared" si="3"/>
        <v>0.69999640843299937</v>
      </c>
      <c r="N8" s="10">
        <f>E8+H8+K8</f>
        <v>428.49</v>
      </c>
      <c r="O8" s="11">
        <f>F8+I8+L8</f>
        <v>316.71000000000004</v>
      </c>
      <c r="P8" s="17">
        <f t="shared" si="4"/>
        <v>0.73913043478260876</v>
      </c>
      <c r="Q8" s="14"/>
      <c r="R8" s="15"/>
      <c r="S8" s="16"/>
    </row>
    <row r="9" spans="1:19" x14ac:dyDescent="0.4">
      <c r="A9" s="18" t="s">
        <v>34</v>
      </c>
      <c r="B9" s="19">
        <f>E9+H9+K9+IF(Q9="",0,Q9)</f>
        <v>411.42</v>
      </c>
      <c r="C9" s="20">
        <f>F9+I9+L9+IF(R9="",0,R9)</f>
        <v>305.3</v>
      </c>
      <c r="D9" s="21">
        <f t="shared" si="0"/>
        <v>0.74206407077925229</v>
      </c>
      <c r="E9" s="22">
        <f>(원자료_공시누적_백만원!E8-원자료_공시누적_백만원!E7)/100</f>
        <v>115.38</v>
      </c>
      <c r="F9" s="23">
        <f>(원자료_공시누적_백만원!F8-원자료_공시누적_백만원!F7)/100</f>
        <v>98.08</v>
      </c>
      <c r="G9" s="21">
        <f t="shared" si="1"/>
        <v>0.85006066909343048</v>
      </c>
      <c r="H9" s="22">
        <f>(원자료_공시누적_백만원!G8-원자료_공시누적_백만원!G7)/100</f>
        <v>20.25</v>
      </c>
      <c r="I9" s="23">
        <f>(원자료_공시누적_백만원!H8-원자료_공시누적_백만원!H7)/100</f>
        <v>14.17</v>
      </c>
      <c r="J9" s="21">
        <f t="shared" si="2"/>
        <v>0.69975308641975309</v>
      </c>
      <c r="K9" s="22">
        <f>(원자료_공시누적_백만원!I8-원자료_공시누적_백만원!I7)/100</f>
        <v>275.79000000000002</v>
      </c>
      <c r="L9" s="23">
        <f>(원자료_공시누적_백만원!J8-원자료_공시누적_백만원!J7)/100</f>
        <v>193.05</v>
      </c>
      <c r="M9" s="21">
        <f t="shared" si="3"/>
        <v>0.69998912215816378</v>
      </c>
      <c r="N9" s="19">
        <f>E9+H9+K9</f>
        <v>411.42</v>
      </c>
      <c r="O9" s="20">
        <f>F9+I9+L9</f>
        <v>305.3</v>
      </c>
      <c r="P9" s="27">
        <f t="shared" si="4"/>
        <v>0.74206407077925229</v>
      </c>
      <c r="Q9" s="24"/>
      <c r="R9" s="25"/>
      <c r="S9" s="26"/>
    </row>
    <row r="10" spans="1:19" x14ac:dyDescent="0.4">
      <c r="A10" s="9" t="s">
        <v>39</v>
      </c>
      <c r="B10" s="10">
        <f>E10+H10+K10+IF(Q10="",0,Q10)</f>
        <v>304.74</v>
      </c>
      <c r="C10" s="11">
        <f>F10+I10+L10+IF(R10="",0,R10)</f>
        <v>232.47</v>
      </c>
      <c r="D10" s="7">
        <f t="shared" si="0"/>
        <v>0.7628470171293561</v>
      </c>
      <c r="E10" s="12">
        <f>원자료_공시누적_백만원!E9/100</f>
        <v>127.68</v>
      </c>
      <c r="F10" s="13">
        <f>원자료_공시누적_백만원!F9/100</f>
        <v>108.53</v>
      </c>
      <c r="G10" s="7">
        <f t="shared" si="1"/>
        <v>0.85001566416040097</v>
      </c>
      <c r="H10" s="12">
        <f>원자료_공시누적_백만원!G9/100</f>
        <v>15.56</v>
      </c>
      <c r="I10" s="13">
        <f>원자료_공시누적_백만원!H9/100</f>
        <v>10.89</v>
      </c>
      <c r="J10" s="7">
        <f t="shared" si="2"/>
        <v>0.69987146529562982</v>
      </c>
      <c r="K10" s="12">
        <f>원자료_공시누적_백만원!I9/100</f>
        <v>161.5</v>
      </c>
      <c r="L10" s="13">
        <f>원자료_공시누적_백만원!J9/100</f>
        <v>113.05</v>
      </c>
      <c r="M10" s="7">
        <f t="shared" si="3"/>
        <v>0.7</v>
      </c>
      <c r="N10" s="10">
        <f>E10+H10+K10</f>
        <v>304.74</v>
      </c>
      <c r="O10" s="11">
        <f>F10+I10+L10</f>
        <v>232.47</v>
      </c>
      <c r="P10" s="17">
        <f t="shared" si="4"/>
        <v>0.7628470171293561</v>
      </c>
      <c r="Q10" s="14"/>
      <c r="R10" s="15"/>
      <c r="S10" s="16"/>
    </row>
    <row r="11" spans="1:19" x14ac:dyDescent="0.4">
      <c r="A11" s="9" t="s">
        <v>44</v>
      </c>
      <c r="B11" s="10">
        <f>E11+H11+K11+IF(Q11="",0,Q11)</f>
        <v>347.49</v>
      </c>
      <c r="C11" s="11">
        <f>F11+I11+L11+IF(R11="",0,R11)</f>
        <v>263.94</v>
      </c>
      <c r="D11" s="7">
        <f t="shared" si="0"/>
        <v>0.75956142622809286</v>
      </c>
      <c r="E11" s="12">
        <f>(원자료_공시누적_백만원!E10-원자료_공시누적_백만원!E9)/100</f>
        <v>137.97</v>
      </c>
      <c r="F11" s="13">
        <f>(원자료_공시누적_백만원!F10-원자료_공시누적_백만원!F9)/100</f>
        <v>117.27</v>
      </c>
      <c r="G11" s="7">
        <f t="shared" si="1"/>
        <v>0.84996738421395956</v>
      </c>
      <c r="H11" s="12">
        <f>(원자료_공시누적_백만원!G10-원자료_공시누적_백만원!G9)/100</f>
        <v>30.5</v>
      </c>
      <c r="I11" s="13">
        <f>(원자료_공시누적_백만원!H10-원자료_공시누적_백만원!H9)/100</f>
        <v>21.35</v>
      </c>
      <c r="J11" s="7">
        <f t="shared" si="2"/>
        <v>0.70000000000000007</v>
      </c>
      <c r="K11" s="12">
        <f>(원자료_공시누적_백만원!I10-원자료_공시누적_백만원!I9)/100</f>
        <v>179.02</v>
      </c>
      <c r="L11" s="13">
        <f>(원자료_공시누적_백만원!J10-원자료_공시누적_백만원!J9)/100</f>
        <v>125.32</v>
      </c>
      <c r="M11" s="7">
        <f t="shared" si="3"/>
        <v>0.70003351580828954</v>
      </c>
      <c r="N11" s="10">
        <f>E11+H11+K11</f>
        <v>347.49</v>
      </c>
      <c r="O11" s="11">
        <f>F11+I11+L11</f>
        <v>263.94</v>
      </c>
      <c r="P11" s="17">
        <f t="shared" si="4"/>
        <v>0.75956142622809286</v>
      </c>
      <c r="Q11" s="14"/>
      <c r="R11" s="15"/>
      <c r="S11" s="16"/>
    </row>
    <row r="12" spans="1:19" x14ac:dyDescent="0.4">
      <c r="A12" s="9" t="s">
        <v>49</v>
      </c>
      <c r="B12" s="10">
        <f>E12+H12+K12+IF(Q12="",0,Q12)</f>
        <v>259.48</v>
      </c>
      <c r="C12" s="11">
        <f>F12+I12+L12+IF(R12="",0,R12)</f>
        <v>201.4</v>
      </c>
      <c r="D12" s="7">
        <f t="shared" si="0"/>
        <v>0.77616772005549561</v>
      </c>
      <c r="E12" s="12">
        <f>(원자료_공시누적_백만원!E11-원자료_공시누적_백만원!E10)/100</f>
        <v>131.79</v>
      </c>
      <c r="F12" s="13">
        <f>(원자료_공시누적_백만원!F11-원자료_공시누적_백만원!F10)/100</f>
        <v>112.02</v>
      </c>
      <c r="G12" s="7">
        <f t="shared" si="1"/>
        <v>0.84998861825631689</v>
      </c>
      <c r="H12" s="12">
        <f>(원자료_공시누적_백만원!G11-원자료_공시누적_백만원!G10)/100</f>
        <v>40.85</v>
      </c>
      <c r="I12" s="13">
        <f>(원자료_공시누적_백만원!H11-원자료_공시누적_백만원!H10)/100</f>
        <v>28.6</v>
      </c>
      <c r="J12" s="7">
        <f t="shared" si="2"/>
        <v>0.70012239902080786</v>
      </c>
      <c r="K12" s="12">
        <f>(원자료_공시누적_백만원!I11-원자료_공시누적_백만원!I10)/100</f>
        <v>86.84</v>
      </c>
      <c r="L12" s="13">
        <f>(원자료_공시누적_백만원!J11-원자료_공시누적_백만원!J10)/100</f>
        <v>60.78</v>
      </c>
      <c r="M12" s="7">
        <f t="shared" si="3"/>
        <v>0.69990787655458309</v>
      </c>
      <c r="N12" s="10">
        <f>E12+H12+K12</f>
        <v>259.48</v>
      </c>
      <c r="O12" s="11">
        <f>F12+I12+L12</f>
        <v>201.4</v>
      </c>
      <c r="P12" s="17">
        <f t="shared" si="4"/>
        <v>0.77616772005549561</v>
      </c>
      <c r="Q12" s="14"/>
      <c r="R12" s="15"/>
      <c r="S12" s="16"/>
    </row>
    <row r="13" spans="1:19" x14ac:dyDescent="0.4">
      <c r="A13" s="18" t="s">
        <v>54</v>
      </c>
      <c r="B13" s="19">
        <f>E13+H13+K13+IF(Q13="",0,Q13)</f>
        <v>273.71000000000004</v>
      </c>
      <c r="C13" s="20">
        <f>F13+I13+L13+IF(R13="",0,R13)</f>
        <v>209.58999999999997</v>
      </c>
      <c r="D13" s="21">
        <f t="shared" si="0"/>
        <v>0.76573745935479143</v>
      </c>
      <c r="E13" s="22">
        <f>(원자료_공시누적_백만원!E12-원자료_공시누적_백만원!E11)/100</f>
        <v>120.03</v>
      </c>
      <c r="F13" s="23">
        <f>(원자료_공시누적_백만원!F12-원자료_공시누적_백만원!F11)/100</f>
        <v>102.02</v>
      </c>
      <c r="G13" s="21">
        <f t="shared" si="1"/>
        <v>0.84995417812213614</v>
      </c>
      <c r="H13" s="22">
        <f>(원자료_공시누적_백만원!G12-원자료_공시누적_백만원!G11)/100</f>
        <v>32.81</v>
      </c>
      <c r="I13" s="23">
        <f>(원자료_공시누적_백만원!H12-원자료_공시누적_백만원!H11)/100</f>
        <v>22.96</v>
      </c>
      <c r="J13" s="21">
        <f t="shared" si="2"/>
        <v>0.69978665041145993</v>
      </c>
      <c r="K13" s="22">
        <f>(원자료_공시누적_백만원!I12-원자료_공시누적_백만원!I11)/100</f>
        <v>120.87</v>
      </c>
      <c r="L13" s="23">
        <f>(원자료_공시누적_백만원!J12-원자료_공시누적_백만원!J11)/100</f>
        <v>84.61</v>
      </c>
      <c r="M13" s="21">
        <f t="shared" si="3"/>
        <v>0.7000082733515347</v>
      </c>
      <c r="N13" s="19">
        <f>E13+H13+K13</f>
        <v>273.71000000000004</v>
      </c>
      <c r="O13" s="20">
        <f>F13+I13+L13</f>
        <v>209.58999999999997</v>
      </c>
      <c r="P13" s="27">
        <f t="shared" si="4"/>
        <v>0.76573745935479143</v>
      </c>
      <c r="Q13" s="24"/>
      <c r="R13" s="25"/>
      <c r="S13" s="26"/>
    </row>
    <row r="14" spans="1:19" x14ac:dyDescent="0.4">
      <c r="A14" s="9" t="s">
        <v>59</v>
      </c>
      <c r="B14" s="10">
        <f>E14+H14+K14+IF(Q14="",0,Q14)</f>
        <v>383.65</v>
      </c>
      <c r="C14" s="11">
        <f>F14+I14+L14+IF(R14="",0,R14)</f>
        <v>289.95</v>
      </c>
      <c r="D14" s="7">
        <f t="shared" si="0"/>
        <v>0.75576697510751989</v>
      </c>
      <c r="E14" s="12">
        <f>원자료_공시누적_백만원!E13/100</f>
        <v>142.65</v>
      </c>
      <c r="F14" s="13">
        <f>원자료_공시누적_백만원!F13/100</f>
        <v>121.25</v>
      </c>
      <c r="G14" s="7">
        <f t="shared" si="1"/>
        <v>0.84998247458815279</v>
      </c>
      <c r="H14" s="12">
        <f>원자료_공시누적_백만원!G13/100</f>
        <v>77.83</v>
      </c>
      <c r="I14" s="13">
        <f>원자료_공시누적_백만원!H13/100</f>
        <v>54.48</v>
      </c>
      <c r="J14" s="7">
        <f t="shared" si="2"/>
        <v>0.69998715148400359</v>
      </c>
      <c r="K14" s="12">
        <f>원자료_공시누적_백만원!I13/100</f>
        <v>163.16999999999999</v>
      </c>
      <c r="L14" s="13">
        <f>원자료_공시누적_백만원!J13/100</f>
        <v>114.22</v>
      </c>
      <c r="M14" s="7">
        <f t="shared" si="3"/>
        <v>0.70000612857755717</v>
      </c>
      <c r="N14" s="10">
        <f>E14+H14+K14</f>
        <v>383.65</v>
      </c>
      <c r="O14" s="11">
        <f>F14+I14+L14</f>
        <v>289.95</v>
      </c>
      <c r="P14" s="17">
        <f t="shared" si="4"/>
        <v>0.75576697510751989</v>
      </c>
      <c r="Q14" s="14"/>
      <c r="R14" s="15"/>
      <c r="S14" s="16"/>
    </row>
    <row r="15" spans="1:19" x14ac:dyDescent="0.4">
      <c r="A15" s="18" t="s">
        <v>64</v>
      </c>
      <c r="B15" s="19">
        <f>E15+H15+K15+IF(Q15="",0,Q15)</f>
        <v>676.64</v>
      </c>
      <c r="C15" s="20">
        <f>F15+I15+L15+IF(R15="",0,R15)</f>
        <v>466.25</v>
      </c>
      <c r="D15" s="21">
        <f t="shared" si="0"/>
        <v>0.68906656419957435</v>
      </c>
      <c r="E15" s="22">
        <f>(원자료_공시누적_백만원!E14-원자료_공시누적_백만원!E13)/100</f>
        <v>224.23</v>
      </c>
      <c r="F15" s="23">
        <f>(원자료_공시누적_백만원!F14-원자료_공시누적_백만원!F13)/100</f>
        <v>190.6</v>
      </c>
      <c r="G15" s="21">
        <f t="shared" si="1"/>
        <v>0.85002006867948088</v>
      </c>
      <c r="H15" s="22">
        <f>(원자료_공시누적_백만원!G14-원자료_공시누적_백만원!G13)/100</f>
        <v>30.29</v>
      </c>
      <c r="I15" s="23">
        <f>(원자료_공시누적_백만원!H14-원자료_공시누적_백만원!H13)/100</f>
        <v>21.2</v>
      </c>
      <c r="J15" s="21">
        <f t="shared" si="2"/>
        <v>0.69990095741168701</v>
      </c>
      <c r="K15" s="22">
        <f>(원자료_공시누적_백만원!I14-원자료_공시누적_백만원!I13)/100</f>
        <v>263.36</v>
      </c>
      <c r="L15" s="23">
        <f>(원자료_공시누적_백만원!J14-원자료_공시누적_백만원!J13)/100</f>
        <v>184.35</v>
      </c>
      <c r="M15" s="21">
        <f t="shared" si="3"/>
        <v>0.6999924058323207</v>
      </c>
      <c r="N15" s="19">
        <f>E15+H15+K15</f>
        <v>517.88</v>
      </c>
      <c r="O15" s="20">
        <f>F15+I15+L15</f>
        <v>396.15</v>
      </c>
      <c r="P15" s="27">
        <f t="shared" si="4"/>
        <v>0.76494554723101871</v>
      </c>
      <c r="Q15" s="22">
        <f>(원자료_공시누적_백만원!K14+원자료_공시누적_백만원!M14)/100</f>
        <v>158.76</v>
      </c>
      <c r="R15" s="23">
        <f>(원자료_공시누적_백만원!L14+원자료_공시누적_백만원!N14)/100</f>
        <v>70.099999999999994</v>
      </c>
      <c r="S15" s="21">
        <f>IF(Q15=0,"",R15/Q15)</f>
        <v>0.4415469891660368</v>
      </c>
    </row>
    <row r="16" spans="1:19" x14ac:dyDescent="0.4">
      <c r="A16" s="48" t="s">
        <v>166</v>
      </c>
      <c r="B16" s="45" t="s">
        <v>76</v>
      </c>
      <c r="C16" s="46"/>
      <c r="D16" s="47"/>
      <c r="E16" s="45" t="s">
        <v>77</v>
      </c>
      <c r="F16" s="46"/>
      <c r="G16" s="47"/>
      <c r="H16" s="45" t="s">
        <v>78</v>
      </c>
      <c r="I16" s="46"/>
      <c r="J16" s="47"/>
      <c r="K16" s="45" t="s">
        <v>79</v>
      </c>
      <c r="L16" s="46"/>
      <c r="M16" s="47"/>
      <c r="N16" s="45" t="s">
        <v>81</v>
      </c>
      <c r="O16" s="46"/>
      <c r="P16" s="47"/>
      <c r="Q16" s="51"/>
      <c r="R16" s="51"/>
      <c r="S16" s="50"/>
    </row>
    <row r="17" spans="1:19" x14ac:dyDescent="0.4">
      <c r="A17" s="49"/>
      <c r="B17" s="3" t="s">
        <v>82</v>
      </c>
      <c r="C17" s="3" t="s">
        <v>83</v>
      </c>
      <c r="D17" s="3" t="s">
        <v>18</v>
      </c>
      <c r="E17" s="3" t="s">
        <v>82</v>
      </c>
      <c r="F17" s="3" t="s">
        <v>83</v>
      </c>
      <c r="G17" s="3" t="s">
        <v>18</v>
      </c>
      <c r="H17" s="3" t="s">
        <v>82</v>
      </c>
      <c r="I17" s="3" t="s">
        <v>83</v>
      </c>
      <c r="J17" s="3" t="s">
        <v>18</v>
      </c>
      <c r="K17" s="3" t="s">
        <v>82</v>
      </c>
      <c r="L17" s="3" t="s">
        <v>83</v>
      </c>
      <c r="M17" s="3" t="s">
        <v>18</v>
      </c>
      <c r="N17" s="3" t="s">
        <v>82</v>
      </c>
      <c r="O17" s="3" t="s">
        <v>83</v>
      </c>
      <c r="P17" s="3" t="s">
        <v>18</v>
      </c>
    </row>
    <row r="18" spans="1:19" x14ac:dyDescent="0.4">
      <c r="A18" s="28" t="s">
        <v>84</v>
      </c>
      <c r="B18" s="29">
        <f>SUM(B6:B9)</f>
        <v>1545.93</v>
      </c>
      <c r="C18" s="29">
        <f>SUM(C6:C9)</f>
        <v>1160.18</v>
      </c>
      <c r="D18" s="30">
        <f>IF(B18=0,"",C18/B18)</f>
        <v>0.75047382481742386</v>
      </c>
      <c r="E18" s="29">
        <f>SUM(E6:E9)</f>
        <v>520.17000000000007</v>
      </c>
      <c r="F18" s="29">
        <f>SUM(F6:F9)</f>
        <v>442.15</v>
      </c>
      <c r="G18" s="30">
        <f>IF(E18=0,"",F18/E18)</f>
        <v>0.85001057346636655</v>
      </c>
      <c r="H18" s="29">
        <f>SUM(H6:H9)</f>
        <v>98.94</v>
      </c>
      <c r="I18" s="29">
        <f>SUM(I6:I9)</f>
        <v>69.260000000000005</v>
      </c>
      <c r="J18" s="30">
        <f>IF(H18=0,"",I18/H18)</f>
        <v>0.70002021427127559</v>
      </c>
      <c r="K18" s="29">
        <f>SUM(K6:K9)</f>
        <v>926.81999999999994</v>
      </c>
      <c r="L18" s="29">
        <f>SUM(L6:L9)</f>
        <v>648.77</v>
      </c>
      <c r="M18" s="30">
        <f>IF(K18=0,"",L18/K18)</f>
        <v>0.69999568416736802</v>
      </c>
      <c r="N18" s="29">
        <f>SUM(N6:N9)</f>
        <v>1545.93</v>
      </c>
      <c r="O18" s="29">
        <f>SUM(O6:O9)</f>
        <v>1160.18</v>
      </c>
      <c r="P18" s="30">
        <f>IF(N18=0,"",O18/N18)</f>
        <v>0.75047382481742386</v>
      </c>
      <c r="Q18" s="29">
        <f>SUM(Q6:Q9)</f>
        <v>0</v>
      </c>
      <c r="R18" s="29">
        <f>SUM(R6:R9)</f>
        <v>0</v>
      </c>
      <c r="S18" s="30" t="str">
        <f>IF(Q18=0,"",R18/Q18)</f>
        <v/>
      </c>
    </row>
    <row r="19" spans="1:19" x14ac:dyDescent="0.4">
      <c r="A19" s="28" t="s">
        <v>85</v>
      </c>
      <c r="B19" s="29">
        <f>SUM(B10:B13)</f>
        <v>1185.42</v>
      </c>
      <c r="C19" s="29">
        <f>SUM(C10:C13)</f>
        <v>907.39999999999986</v>
      </c>
      <c r="D19" s="30">
        <f>IF(B19=0,"",C19/B19)</f>
        <v>0.76546709183243056</v>
      </c>
      <c r="E19" s="29">
        <f>SUM(E10:E13)</f>
        <v>517.46999999999991</v>
      </c>
      <c r="F19" s="29">
        <f>SUM(F10:F13)</f>
        <v>439.84</v>
      </c>
      <c r="G19" s="30">
        <f>IF(E19=0,"",F19/E19)</f>
        <v>0.84998164144781352</v>
      </c>
      <c r="H19" s="29">
        <f>SUM(H10:H13)</f>
        <v>119.72</v>
      </c>
      <c r="I19" s="29">
        <f>SUM(I10:I13)</f>
        <v>83.800000000000011</v>
      </c>
      <c r="J19" s="30">
        <f>IF(H19=0,"",I19/H19)</f>
        <v>0.69996658870698303</v>
      </c>
      <c r="K19" s="29">
        <f>SUM(K10:K13)</f>
        <v>548.23</v>
      </c>
      <c r="L19" s="29">
        <f>SUM(L10:L13)</f>
        <v>383.76</v>
      </c>
      <c r="M19" s="30">
        <f>IF(K19=0,"",L19/K19)</f>
        <v>0.69999817594805092</v>
      </c>
      <c r="N19" s="29">
        <f>SUM(N10:N13)</f>
        <v>1185.42</v>
      </c>
      <c r="O19" s="29">
        <f>SUM(O10:O13)</f>
        <v>907.39999999999986</v>
      </c>
      <c r="P19" s="30">
        <f>IF(N19=0,"",O19/N19)</f>
        <v>0.76546709183243056</v>
      </c>
      <c r="Q19" s="29">
        <f>SUM(Q10:Q13)</f>
        <v>0</v>
      </c>
      <c r="R19" s="29">
        <f>SUM(R10:R13)</f>
        <v>0</v>
      </c>
      <c r="S19" s="30" t="str">
        <f>IF(Q19=0,"",R19/Q19)</f>
        <v/>
      </c>
    </row>
    <row r="20" spans="1:19" x14ac:dyDescent="0.4">
      <c r="A20" s="28" t="s">
        <v>86</v>
      </c>
      <c r="B20" s="29">
        <f>SUM(B14:B15)</f>
        <v>1060.29</v>
      </c>
      <c r="C20" s="29">
        <f>SUM(C14:C15)</f>
        <v>756.2</v>
      </c>
      <c r="D20" s="30">
        <f>IF(B20=0,"",C20/B20)</f>
        <v>0.71320110535796821</v>
      </c>
      <c r="E20" s="29">
        <f>SUM(E14:E15)</f>
        <v>366.88</v>
      </c>
      <c r="F20" s="29">
        <f>SUM(F14:F15)</f>
        <v>311.85000000000002</v>
      </c>
      <c r="G20" s="30">
        <f>IF(E20=0,"",F20/E20)</f>
        <v>0.85000545137374628</v>
      </c>
      <c r="H20" s="29">
        <f>SUM(H14:H15)</f>
        <v>108.12</v>
      </c>
      <c r="I20" s="29">
        <f>SUM(I14:I15)</f>
        <v>75.679999999999993</v>
      </c>
      <c r="J20" s="30">
        <f>IF(H20=0,"",I20/H20)</f>
        <v>0.69996300406955225</v>
      </c>
      <c r="K20" s="29">
        <f>SUM(K14:K15)</f>
        <v>426.53</v>
      </c>
      <c r="L20" s="29">
        <f>SUM(L14:L15)</f>
        <v>298.57</v>
      </c>
      <c r="M20" s="30">
        <f>IF(K20=0,"",L20/K20)</f>
        <v>0.69999765549902704</v>
      </c>
      <c r="N20" s="29">
        <f>SUM(N14:N15)</f>
        <v>901.53</v>
      </c>
      <c r="O20" s="29">
        <f>SUM(O14:O15)</f>
        <v>686.09999999999991</v>
      </c>
      <c r="P20" s="30">
        <f>IF(N20=0,"",O20/N20)</f>
        <v>0.76103956607101253</v>
      </c>
      <c r="Q20" s="29">
        <f>SUM(Q14:Q15)</f>
        <v>158.76</v>
      </c>
      <c r="R20" s="29">
        <f>SUM(R14:R15)</f>
        <v>70.099999999999994</v>
      </c>
      <c r="S20" s="30">
        <f>IF(Q20=0,"",R20/Q20)</f>
        <v>0.4415469891660368</v>
      </c>
    </row>
    <row r="21" spans="1:19" x14ac:dyDescent="0.4">
      <c r="A21" s="31" t="s">
        <v>87</v>
      </c>
    </row>
    <row r="22" spans="1:19" x14ac:dyDescent="0.4">
      <c r="A22" s="32" t="s">
        <v>88</v>
      </c>
      <c r="B22" s="33">
        <f>E22+H22+K22</f>
        <v>453.625</v>
      </c>
      <c r="C22" s="33">
        <f>F22+I22+L22</f>
        <v>369.54</v>
      </c>
      <c r="D22" s="34">
        <f>IF(B22=0,"",C22/B22)</f>
        <v>0.81463764122347759</v>
      </c>
      <c r="E22" s="35">
        <f>원자료_공시누적_백만원!E17/4/100</f>
        <v>277.08</v>
      </c>
      <c r="F22" s="35">
        <f>원자료_공시누적_백만원!F17/4/100</f>
        <v>235.52</v>
      </c>
      <c r="G22" s="34">
        <f>IF(E22=0,"",F22/E22)</f>
        <v>0.85000721813194757</v>
      </c>
      <c r="H22" s="35">
        <f>원자료_공시누적_백만원!G17/4/100</f>
        <v>22.467500000000001</v>
      </c>
      <c r="I22" s="35">
        <f>원자료_공시누적_백만원!H17/4/100</f>
        <v>15.727499999999999</v>
      </c>
      <c r="J22" s="34">
        <f>IF(H22=0,"",I22/H22)</f>
        <v>0.70001112718370972</v>
      </c>
      <c r="K22" s="35">
        <f>원자료_공시누적_백만원!I17/4/100</f>
        <v>154.07749999999999</v>
      </c>
      <c r="L22" s="35">
        <f>원자료_공시누적_백만원!J17/4/100</f>
        <v>118.2925</v>
      </c>
      <c r="M22" s="34">
        <f>IF(K22=0,"",L22/K22)</f>
        <v>0.76774675082344934</v>
      </c>
      <c r="N22" s="33">
        <f t="shared" ref="N22:P23" si="5">B22</f>
        <v>453.625</v>
      </c>
      <c r="O22" s="33">
        <f t="shared" si="5"/>
        <v>369.54</v>
      </c>
      <c r="P22" s="34">
        <f t="shared" si="5"/>
        <v>0.81463764122347759</v>
      </c>
      <c r="Q22" s="33"/>
      <c r="R22" s="33"/>
      <c r="S22" s="34"/>
    </row>
    <row r="23" spans="1:19" x14ac:dyDescent="0.4">
      <c r="A23" s="32" t="s">
        <v>89</v>
      </c>
      <c r="B23" s="33">
        <f>E23+H23+K23</f>
        <v>433.47250000000003</v>
      </c>
      <c r="C23" s="33">
        <f>F23+I23+L23</f>
        <v>349.65999999999997</v>
      </c>
      <c r="D23" s="34">
        <f>IF(B23=0,"",C23/B23)</f>
        <v>0.80664863399638953</v>
      </c>
      <c r="E23" s="35">
        <f>원자료_공시누적_백만원!E18/4/100</f>
        <v>232.84</v>
      </c>
      <c r="F23" s="35">
        <f>원자료_공시누적_백만원!F18/4/100</f>
        <v>197.91249999999999</v>
      </c>
      <c r="G23" s="34">
        <f>IF(E23=0,"",F23/E23)</f>
        <v>0.84999355780793673</v>
      </c>
      <c r="H23" s="35">
        <f>원자료_공시누적_백만원!G18/4/100</f>
        <v>33.75</v>
      </c>
      <c r="I23" s="35">
        <f>원자료_공시누적_백만원!H18/4/100</f>
        <v>23.625</v>
      </c>
      <c r="J23" s="34">
        <f>IF(H23=0,"",I23/H23)</f>
        <v>0.7</v>
      </c>
      <c r="K23" s="35">
        <f>원자료_공시누적_백만원!I18/4/100</f>
        <v>166.88249999999999</v>
      </c>
      <c r="L23" s="35">
        <f>원자료_공시누적_백만원!J18/4/100</f>
        <v>128.1225</v>
      </c>
      <c r="M23" s="34">
        <f>IF(K23=0,"",L23/K23)</f>
        <v>0.76774077569547439</v>
      </c>
      <c r="N23" s="33">
        <f t="shared" si="5"/>
        <v>433.47250000000003</v>
      </c>
      <c r="O23" s="33">
        <f t="shared" si="5"/>
        <v>349.65999999999997</v>
      </c>
      <c r="P23" s="34">
        <f t="shared" si="5"/>
        <v>0.80664863399638953</v>
      </c>
      <c r="Q23" s="33"/>
      <c r="R23" s="33"/>
      <c r="S23" s="34"/>
    </row>
    <row r="25" spans="1:19" x14ac:dyDescent="0.4">
      <c r="A25" s="36" t="s">
        <v>90</v>
      </c>
    </row>
    <row r="26" spans="1:19" x14ac:dyDescent="0.4">
      <c r="A26" s="2" t="s">
        <v>91</v>
      </c>
    </row>
    <row r="27" spans="1:19" x14ac:dyDescent="0.4">
      <c r="A27" s="2" t="s">
        <v>92</v>
      </c>
    </row>
    <row r="28" spans="1:19" x14ac:dyDescent="0.4">
      <c r="A28" s="2" t="s">
        <v>93</v>
      </c>
    </row>
    <row r="29" spans="1:19" x14ac:dyDescent="0.4">
      <c r="A29" s="2"/>
    </row>
    <row r="30" spans="1:19" x14ac:dyDescent="0.4">
      <c r="A30" s="36" t="s">
        <v>94</v>
      </c>
    </row>
    <row r="31" spans="1:19" x14ac:dyDescent="0.4">
      <c r="A31" s="2" t="s">
        <v>95</v>
      </c>
    </row>
    <row r="32" spans="1:19" x14ac:dyDescent="0.4">
      <c r="A32" s="2" t="s">
        <v>96</v>
      </c>
    </row>
    <row r="33" spans="1:1" x14ac:dyDescent="0.4">
      <c r="A33" s="2" t="s">
        <v>97</v>
      </c>
    </row>
    <row r="34" spans="1:1" x14ac:dyDescent="0.4">
      <c r="A34" s="2" t="s">
        <v>98</v>
      </c>
    </row>
    <row r="35" spans="1:1" x14ac:dyDescent="0.4">
      <c r="A35" s="2" t="s">
        <v>99</v>
      </c>
    </row>
    <row r="36" spans="1:1" x14ac:dyDescent="0.4">
      <c r="A36" s="2" t="s">
        <v>100</v>
      </c>
    </row>
    <row r="37" spans="1:1" x14ac:dyDescent="0.4">
      <c r="A37" s="2" t="s">
        <v>101</v>
      </c>
    </row>
    <row r="38" spans="1:1" x14ac:dyDescent="0.4">
      <c r="A38" s="2" t="s">
        <v>102</v>
      </c>
    </row>
    <row r="39" spans="1:1" x14ac:dyDescent="0.4">
      <c r="A39" s="2" t="s">
        <v>103</v>
      </c>
    </row>
  </sheetData>
  <mergeCells count="13">
    <mergeCell ref="N16:P16"/>
    <mergeCell ref="A16:A17"/>
    <mergeCell ref="B16:D16"/>
    <mergeCell ref="E16:G16"/>
    <mergeCell ref="H16:J16"/>
    <mergeCell ref="K16:M16"/>
    <mergeCell ref="K4:M4"/>
    <mergeCell ref="A4:A5"/>
    <mergeCell ref="B4:D4"/>
    <mergeCell ref="H4:J4"/>
    <mergeCell ref="N4:P4"/>
    <mergeCell ref="E4:G4"/>
    <mergeCell ref="Q4:S4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4"/>
  <sheetViews>
    <sheetView showGridLines="0" workbookViewId="0"/>
  </sheetViews>
  <sheetFormatPr defaultRowHeight="17.399999999999999" x14ac:dyDescent="0.4"/>
  <sheetData>
    <row r="1" spans="1:1" ht="20.399999999999999" x14ac:dyDescent="0.45">
      <c r="A1" s="1" t="s">
        <v>104</v>
      </c>
    </row>
    <row r="2" spans="1:1" x14ac:dyDescent="0.4">
      <c r="A2" s="2" t="s">
        <v>105</v>
      </c>
    </row>
    <row r="64" spans="1:1" x14ac:dyDescent="0.4">
      <c r="A64" s="2" t="s">
        <v>106</v>
      </c>
    </row>
  </sheetData>
  <phoneticPr fontId="1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22" customWidth="1"/>
    <col min="2" max="7" width="12" customWidth="1"/>
  </cols>
  <sheetData>
    <row r="1" spans="1:7" ht="20.399999999999999" x14ac:dyDescent="0.45">
      <c r="A1" s="1" t="s">
        <v>107</v>
      </c>
    </row>
    <row r="2" spans="1:7" x14ac:dyDescent="0.4">
      <c r="A2" s="2" t="s">
        <v>108</v>
      </c>
    </row>
    <row r="4" spans="1:7" x14ac:dyDescent="0.4">
      <c r="A4" s="48" t="s">
        <v>2</v>
      </c>
      <c r="B4" s="48" t="s">
        <v>109</v>
      </c>
      <c r="C4" s="49"/>
      <c r="D4" s="49"/>
      <c r="E4" s="48" t="s">
        <v>110</v>
      </c>
      <c r="F4" s="49"/>
      <c r="G4" s="49"/>
    </row>
    <row r="5" spans="1:7" x14ac:dyDescent="0.4">
      <c r="A5" s="49"/>
      <c r="B5" s="3" t="s">
        <v>111</v>
      </c>
      <c r="C5" s="3" t="s">
        <v>112</v>
      </c>
      <c r="D5" s="3" t="s">
        <v>113</v>
      </c>
      <c r="E5" s="3" t="s">
        <v>111</v>
      </c>
      <c r="F5" s="3" t="s">
        <v>112</v>
      </c>
      <c r="G5" s="3" t="s">
        <v>113</v>
      </c>
    </row>
    <row r="6" spans="1:7" x14ac:dyDescent="0.4">
      <c r="A6" s="37" t="s">
        <v>19</v>
      </c>
      <c r="B6" s="38">
        <f>원자료_공시누적_백만원!F5/원자료_공시누적_백만원!E5</f>
        <v>0.84999659238056291</v>
      </c>
      <c r="C6" s="39">
        <f>원자료_공시누적_백만원!H5/원자료_공시누적_백만원!G5</f>
        <v>0.70006381620931712</v>
      </c>
      <c r="D6" s="39">
        <f>원자료_공시누적_백만원!J5/원자료_공시누적_백만원!I5</f>
        <v>0.76774374824388869</v>
      </c>
      <c r="E6" s="38">
        <f>원자료_공시누적_백만원!F5/원자료_공시누적_백만원!E5</f>
        <v>0.84999659238056291</v>
      </c>
      <c r="F6" s="39">
        <f>원자료_공시누적_백만원!H5/원자료_공시누적_백만원!G5</f>
        <v>0.70006381620931712</v>
      </c>
      <c r="G6" s="39">
        <f>원자료_공시누적_백만원!J5/원자료_공시누적_백만원!I5</f>
        <v>0.76774374824388869</v>
      </c>
    </row>
    <row r="7" spans="1:7" x14ac:dyDescent="0.4">
      <c r="A7" s="37" t="s">
        <v>24</v>
      </c>
      <c r="B7" s="38">
        <f>원자료_공시누적_백만원!F6/원자료_공시누적_백만원!E6</f>
        <v>0.85002389241586451</v>
      </c>
      <c r="C7" s="39">
        <f>원자료_공시누적_백만원!H6/원자료_공시누적_백만원!G6</f>
        <v>0.70004945598417412</v>
      </c>
      <c r="D7" s="39">
        <f>원자료_공시누적_백만원!J6/원자료_공시누적_백만원!I6</f>
        <v>0.7</v>
      </c>
      <c r="E7" s="38">
        <f>(원자료_공시누적_백만원!F6-원자료_공시누적_백만원!F5)/(원자료_공시누적_백만원!E6-원자료_공시누적_백만원!E5)</f>
        <v>0.850051282051282</v>
      </c>
      <c r="F7" s="39">
        <f>(원자료_공시누적_백만원!H6-원자료_공시누적_백만원!H5)/(원자료_공시누적_백만원!G6-원자료_공시누적_백만원!G5)</f>
        <v>0.70004037141703679</v>
      </c>
      <c r="G7" s="39">
        <f>(원자료_공시누적_백만원!J6-원자료_공시누적_백만원!J5)/(원자료_공시누적_백만원!I6-원자료_공시누적_백만원!I5)</f>
        <v>0.63806832776778832</v>
      </c>
    </row>
    <row r="8" spans="1:7" x14ac:dyDescent="0.4">
      <c r="A8" s="37" t="s">
        <v>29</v>
      </c>
      <c r="B8" s="38">
        <f>원자료_공시누적_백만원!F7/원자료_공시누적_백만원!E7</f>
        <v>0.84999629437486102</v>
      </c>
      <c r="C8" s="39">
        <f>원자료_공시누적_백만원!H7/원자료_공시누적_백만원!G7</f>
        <v>0.70008895666539583</v>
      </c>
      <c r="D8" s="39">
        <f>원자료_공시누적_백만원!J7/원자료_공시누적_백만원!I7</f>
        <v>0.69999846397247434</v>
      </c>
      <c r="E8" s="38">
        <f>(원자료_공시누적_백만원!F7-원자료_공시누적_백만원!F6)/(원자료_공시누적_백만원!E7-원자료_공시누적_백만원!E6)</f>
        <v>0.84992397817726495</v>
      </c>
      <c r="F8" s="39">
        <f>(원자료_공시누적_백만원!H7-원자료_공시누적_백만원!H6)/(원자료_공시누적_백만원!G7-원자료_공시누적_백만원!G6)</f>
        <v>0.70013071895424839</v>
      </c>
      <c r="G8" s="39">
        <f>(원자료_공시누적_백만원!J7-원자료_공시누적_백만원!J6)/(원자료_공시누적_백만원!I7-원자료_공시누적_백만원!I6)</f>
        <v>0.69999640843299937</v>
      </c>
    </row>
    <row r="9" spans="1:7" x14ac:dyDescent="0.4">
      <c r="A9" s="37" t="s">
        <v>34</v>
      </c>
      <c r="B9" s="38">
        <f>원자료_공시누적_백만원!F8/원자료_공시누적_백만원!E8</f>
        <v>0.85001057346636677</v>
      </c>
      <c r="C9" s="39">
        <f>원자료_공시누적_백만원!H8/원자료_공시누적_백만원!G8</f>
        <v>0.70002021427127548</v>
      </c>
      <c r="D9" s="39">
        <f>원자료_공시누적_백만원!J8/원자료_공시누적_백만원!I8</f>
        <v>0.69999568416736802</v>
      </c>
      <c r="E9" s="38">
        <f>(원자료_공시누적_백만원!F8-원자료_공시누적_백만원!F7)/(원자료_공시누적_백만원!E8-원자료_공시누적_백만원!E7)</f>
        <v>0.85006066909343037</v>
      </c>
      <c r="F9" s="39">
        <f>(원자료_공시누적_백만원!H8-원자료_공시누적_백만원!H7)/(원자료_공시누적_백만원!G8-원자료_공시누적_백만원!G7)</f>
        <v>0.69975308641975309</v>
      </c>
      <c r="G9" s="39">
        <f>(원자료_공시누적_백만원!J8-원자료_공시누적_백만원!J7)/(원자료_공시누적_백만원!I8-원자료_공시누적_백만원!I7)</f>
        <v>0.69998912215816378</v>
      </c>
    </row>
    <row r="10" spans="1:7" x14ac:dyDescent="0.4">
      <c r="A10" s="37" t="s">
        <v>39</v>
      </c>
      <c r="B10" s="38">
        <f>원자료_공시누적_백만원!F9/원자료_공시누적_백만원!E9</f>
        <v>0.85001566416040097</v>
      </c>
      <c r="C10" s="39">
        <f>원자료_공시누적_백만원!H9/원자료_공시누적_백만원!G9</f>
        <v>0.69987146529562982</v>
      </c>
      <c r="D10" s="39">
        <f>원자료_공시누적_백만원!J9/원자료_공시누적_백만원!I9</f>
        <v>0.7</v>
      </c>
      <c r="E10" s="38">
        <f>원자료_공시누적_백만원!F9/원자료_공시누적_백만원!E9</f>
        <v>0.85001566416040097</v>
      </c>
      <c r="F10" s="39">
        <f>원자료_공시누적_백만원!H9/원자료_공시누적_백만원!G9</f>
        <v>0.69987146529562982</v>
      </c>
      <c r="G10" s="39">
        <f>원자료_공시누적_백만원!J9/원자료_공시누적_백만원!I9</f>
        <v>0.7</v>
      </c>
    </row>
    <row r="11" spans="1:7" x14ac:dyDescent="0.4">
      <c r="A11" s="37" t="s">
        <v>44</v>
      </c>
      <c r="B11" s="38">
        <f>원자료_공시누적_백만원!F10/원자료_공시누적_백만원!E10</f>
        <v>0.84999058912102388</v>
      </c>
      <c r="C11" s="39">
        <f>원자료_공시누적_백만원!H10/원자료_공시누적_백만원!G10</f>
        <v>0.69995657837603131</v>
      </c>
      <c r="D11" s="39">
        <f>원자료_공시누적_백만원!J10/원자료_공시누적_백만원!I10</f>
        <v>0.70001762011041935</v>
      </c>
      <c r="E11" s="38">
        <f>(원자료_공시누적_백만원!F10-원자료_공시누적_백만원!F9)/(원자료_공시누적_백만원!E10-원자료_공시누적_백만원!E9)</f>
        <v>0.84996738421395956</v>
      </c>
      <c r="F11" s="39">
        <f>(원자료_공시누적_백만원!H10-원자료_공시누적_백만원!H9)/(원자료_공시누적_백만원!G10-원자료_공시누적_백만원!G9)</f>
        <v>0.7</v>
      </c>
      <c r="G11" s="39">
        <f>(원자료_공시누적_백만원!J10-원자료_공시누적_백만원!J9)/(원자료_공시누적_백만원!I10-원자료_공시누적_백만원!I9)</f>
        <v>0.70003351580828954</v>
      </c>
    </row>
    <row r="12" spans="1:7" x14ac:dyDescent="0.4">
      <c r="A12" s="37" t="s">
        <v>49</v>
      </c>
      <c r="B12" s="38">
        <f>원자료_공시누적_백만원!F11/원자료_공시누적_백만원!E11</f>
        <v>0.8499899355877617</v>
      </c>
      <c r="C12" s="39">
        <f>원자료_공시누적_백만원!H11/원자료_공시누적_백만원!G11</f>
        <v>0.70003451846738007</v>
      </c>
      <c r="D12" s="39">
        <f>원자료_공시누적_백만원!J11/원자료_공시누적_백만원!I11</f>
        <v>0.69999532010482968</v>
      </c>
      <c r="E12" s="38">
        <f>(원자료_공시누적_백만원!F11-원자료_공시누적_백만원!F10)/(원자료_공시누적_백만원!E11-원자료_공시누적_백만원!E10)</f>
        <v>0.84998861825631689</v>
      </c>
      <c r="F12" s="39">
        <f>(원자료_공시누적_백만원!H11-원자료_공시누적_백만원!H10)/(원자료_공시누적_백만원!G11-원자료_공시누적_백만원!G10)</f>
        <v>0.70012239902080786</v>
      </c>
      <c r="G12" s="39">
        <f>(원자료_공시누적_백만원!J11-원자료_공시누적_백만원!J10)/(원자료_공시누적_백만원!I11-원자료_공시누적_백만원!I10)</f>
        <v>0.69990787655458309</v>
      </c>
    </row>
    <row r="13" spans="1:7" x14ac:dyDescent="0.4">
      <c r="A13" s="37" t="s">
        <v>54</v>
      </c>
      <c r="B13" s="38">
        <f>원자료_공시누적_백만원!F12/원자료_공시누적_백만원!E12</f>
        <v>0.84998164144781341</v>
      </c>
      <c r="C13" s="39">
        <f>원자료_공시누적_백만원!H12/원자료_공시누적_백만원!G12</f>
        <v>0.69996658870698292</v>
      </c>
      <c r="D13" s="39">
        <f>원자료_공시누적_백만원!J12/원자료_공시누적_백만원!I12</f>
        <v>0.69999817594805103</v>
      </c>
      <c r="E13" s="38">
        <f>(원자료_공시누적_백만원!F12-원자료_공시누적_백만원!F11)/(원자료_공시누적_백만원!E12-원자료_공시누적_백만원!E11)</f>
        <v>0.84995417812213614</v>
      </c>
      <c r="F13" s="39">
        <f>(원자료_공시누적_백만원!H12-원자료_공시누적_백만원!H11)/(원자료_공시누적_백만원!G12-원자료_공시누적_백만원!G11)</f>
        <v>0.69978665041145993</v>
      </c>
      <c r="G13" s="39">
        <f>(원자료_공시누적_백만원!J12-원자료_공시누적_백만원!J11)/(원자료_공시누적_백만원!I12-원자료_공시누적_백만원!I11)</f>
        <v>0.7000082733515347</v>
      </c>
    </row>
    <row r="14" spans="1:7" x14ac:dyDescent="0.4">
      <c r="A14" s="37" t="s">
        <v>59</v>
      </c>
      <c r="B14" s="38">
        <f>원자료_공시누적_백만원!F13/원자료_공시누적_백만원!E13</f>
        <v>0.84998247458815279</v>
      </c>
      <c r="C14" s="39">
        <f>원자료_공시누적_백만원!H13/원자료_공시누적_백만원!G13</f>
        <v>0.69998715148400359</v>
      </c>
      <c r="D14" s="39">
        <f>원자료_공시누적_백만원!J13/원자료_공시누적_백만원!I13</f>
        <v>0.70000612857755717</v>
      </c>
      <c r="E14" s="38">
        <f>원자료_공시누적_백만원!F13/원자료_공시누적_백만원!E13</f>
        <v>0.84998247458815279</v>
      </c>
      <c r="F14" s="39">
        <f>원자료_공시누적_백만원!H13/원자료_공시누적_백만원!G13</f>
        <v>0.69998715148400359</v>
      </c>
      <c r="G14" s="39">
        <f>원자료_공시누적_백만원!J13/원자료_공시누적_백만원!I13</f>
        <v>0.70000612857755717</v>
      </c>
    </row>
    <row r="15" spans="1:7" x14ac:dyDescent="0.4">
      <c r="A15" s="37" t="s">
        <v>64</v>
      </c>
      <c r="B15" s="38">
        <f>원자료_공시누적_백만원!F14/원자료_공시누적_백만원!E14</f>
        <v>0.85000545137374617</v>
      </c>
      <c r="C15" s="39">
        <f>원자료_공시누적_백만원!H14/원자료_공시누적_백만원!G14</f>
        <v>0.69996300406955236</v>
      </c>
      <c r="D15" s="39">
        <f>원자료_공시누적_백만원!J14/원자료_공시누적_백만원!I14</f>
        <v>0.69999765549902704</v>
      </c>
      <c r="E15" s="38">
        <f>(원자료_공시누적_백만원!F14-원자료_공시누적_백만원!F13)/(원자료_공시누적_백만원!E14-원자료_공시누적_백만원!E13)</f>
        <v>0.85002006867948088</v>
      </c>
      <c r="F15" s="39">
        <f>(원자료_공시누적_백만원!H14-원자료_공시누적_백만원!H13)/(원자료_공시누적_백만원!G14-원자료_공시누적_백만원!G13)</f>
        <v>0.69990095741168701</v>
      </c>
      <c r="G15" s="39">
        <f>(원자료_공시누적_백만원!J14-원자료_공시누적_백만원!J13)/(원자료_공시누적_백만원!I14-원자료_공시누적_백만원!I13)</f>
        <v>0.69999240583232081</v>
      </c>
    </row>
    <row r="16" spans="1:7" x14ac:dyDescent="0.4">
      <c r="A16" s="28" t="s">
        <v>114</v>
      </c>
      <c r="B16" s="40">
        <f t="shared" ref="B16:G16" si="0">MAX(B6:B15)</f>
        <v>0.85002389241586451</v>
      </c>
      <c r="C16" s="40">
        <f t="shared" si="0"/>
        <v>0.70008895666539583</v>
      </c>
      <c r="D16" s="40">
        <f t="shared" si="0"/>
        <v>0.76774374824388869</v>
      </c>
      <c r="E16" s="40">
        <f t="shared" si="0"/>
        <v>0.85006066909343037</v>
      </c>
      <c r="F16" s="40">
        <f t="shared" si="0"/>
        <v>0.70013071895424839</v>
      </c>
      <c r="G16" s="40">
        <f t="shared" si="0"/>
        <v>0.76774374824388869</v>
      </c>
    </row>
    <row r="17" spans="1:7" x14ac:dyDescent="0.4">
      <c r="A17" s="28" t="s">
        <v>115</v>
      </c>
      <c r="B17" s="40">
        <f t="shared" ref="B17:G17" si="1">MIN(B6:B15)</f>
        <v>0.84998164144781341</v>
      </c>
      <c r="C17" s="40">
        <f t="shared" si="1"/>
        <v>0.69987146529562982</v>
      </c>
      <c r="D17" s="40">
        <f t="shared" si="1"/>
        <v>0.69999532010482968</v>
      </c>
      <c r="E17" s="40">
        <f t="shared" si="1"/>
        <v>0.84992397817726495</v>
      </c>
      <c r="F17" s="40">
        <f t="shared" si="1"/>
        <v>0.69975308641975309</v>
      </c>
      <c r="G17" s="40">
        <f t="shared" si="1"/>
        <v>0.63806832776778832</v>
      </c>
    </row>
    <row r="18" spans="1:7" x14ac:dyDescent="0.4">
      <c r="A18" s="41" t="s">
        <v>116</v>
      </c>
      <c r="B18" s="42">
        <f t="shared" ref="B18:G18" si="2">(B16-B17)*100</f>
        <v>4.2250968051105176E-3</v>
      </c>
      <c r="C18" s="42">
        <f t="shared" si="2"/>
        <v>2.1749136976600969E-2</v>
      </c>
      <c r="D18" s="42">
        <f t="shared" si="2"/>
        <v>6.7748428139059014</v>
      </c>
      <c r="E18" s="42">
        <f t="shared" si="2"/>
        <v>1.3669091616541618E-2</v>
      </c>
      <c r="F18" s="42">
        <f t="shared" si="2"/>
        <v>3.7763253449529799E-2</v>
      </c>
      <c r="G18" s="42">
        <f t="shared" si="2"/>
        <v>12.967542047610037</v>
      </c>
    </row>
    <row r="20" spans="1:7" x14ac:dyDescent="0.4">
      <c r="A20" s="36" t="s">
        <v>117</v>
      </c>
    </row>
    <row r="21" spans="1:7" x14ac:dyDescent="0.4">
      <c r="A21" s="2" t="s">
        <v>118</v>
      </c>
    </row>
    <row r="22" spans="1:7" x14ac:dyDescent="0.4">
      <c r="A22" s="2" t="s">
        <v>119</v>
      </c>
    </row>
    <row r="23" spans="1:7" x14ac:dyDescent="0.4">
      <c r="A23" s="2" t="s">
        <v>120</v>
      </c>
    </row>
    <row r="24" spans="1:7" x14ac:dyDescent="0.4">
      <c r="A24" s="2" t="s">
        <v>121</v>
      </c>
    </row>
    <row r="25" spans="1:7" x14ac:dyDescent="0.4">
      <c r="A25" s="2"/>
    </row>
    <row r="26" spans="1:7" x14ac:dyDescent="0.4">
      <c r="A26" s="36" t="s">
        <v>122</v>
      </c>
    </row>
    <row r="27" spans="1:7" x14ac:dyDescent="0.4">
      <c r="A27" s="2" t="s">
        <v>123</v>
      </c>
    </row>
    <row r="28" spans="1:7" x14ac:dyDescent="0.4">
      <c r="A28" s="2" t="s">
        <v>124</v>
      </c>
    </row>
    <row r="29" spans="1:7" x14ac:dyDescent="0.4">
      <c r="A29" s="2"/>
    </row>
    <row r="30" spans="1:7" x14ac:dyDescent="0.4">
      <c r="A30" s="36" t="s">
        <v>125</v>
      </c>
    </row>
    <row r="31" spans="1:7" x14ac:dyDescent="0.4">
      <c r="A31" s="2" t="s">
        <v>126</v>
      </c>
    </row>
  </sheetData>
  <mergeCells count="3">
    <mergeCell ref="A4:A5"/>
    <mergeCell ref="E4:G4"/>
    <mergeCell ref="B4:D4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workbookViewId="0"/>
  </sheetViews>
  <sheetFormatPr defaultRowHeight="17.399999999999999" x14ac:dyDescent="0.4"/>
  <cols>
    <col min="1" max="1" width="14" customWidth="1"/>
    <col min="2" max="2" width="96" customWidth="1"/>
    <col min="3" max="3" width="22" customWidth="1"/>
    <col min="4" max="4" width="34" customWidth="1"/>
  </cols>
  <sheetData>
    <row r="1" spans="1:4" ht="20.399999999999999" x14ac:dyDescent="0.45">
      <c r="A1" s="1" t="s">
        <v>127</v>
      </c>
    </row>
    <row r="3" spans="1:4" x14ac:dyDescent="0.4">
      <c r="A3" s="3" t="s">
        <v>128</v>
      </c>
      <c r="B3" s="3" t="s">
        <v>129</v>
      </c>
      <c r="C3" s="3" t="s">
        <v>130</v>
      </c>
      <c r="D3" s="3" t="s">
        <v>131</v>
      </c>
    </row>
    <row r="4" spans="1:4" x14ac:dyDescent="0.4">
      <c r="A4" s="4" t="s">
        <v>132</v>
      </c>
      <c r="B4" s="43" t="s">
        <v>133</v>
      </c>
      <c r="C4" s="4" t="s">
        <v>22</v>
      </c>
      <c r="D4" s="44" t="s">
        <v>23</v>
      </c>
    </row>
    <row r="5" spans="1:4" x14ac:dyDescent="0.4">
      <c r="A5" s="4" t="s">
        <v>132</v>
      </c>
      <c r="B5" s="43" t="s">
        <v>134</v>
      </c>
      <c r="C5" s="4" t="s">
        <v>27</v>
      </c>
      <c r="D5" s="44" t="s">
        <v>28</v>
      </c>
    </row>
    <row r="6" spans="1:4" x14ac:dyDescent="0.4">
      <c r="A6" s="4" t="s">
        <v>132</v>
      </c>
      <c r="B6" s="43" t="s">
        <v>135</v>
      </c>
      <c r="C6" s="4" t="s">
        <v>32</v>
      </c>
      <c r="D6" s="44" t="s">
        <v>33</v>
      </c>
    </row>
    <row r="7" spans="1:4" x14ac:dyDescent="0.4">
      <c r="A7" s="4" t="s">
        <v>132</v>
      </c>
      <c r="B7" s="43" t="s">
        <v>136</v>
      </c>
      <c r="C7" s="4" t="s">
        <v>37</v>
      </c>
      <c r="D7" s="44" t="s">
        <v>38</v>
      </c>
    </row>
    <row r="8" spans="1:4" x14ac:dyDescent="0.4">
      <c r="A8" s="4" t="s">
        <v>132</v>
      </c>
      <c r="B8" s="43" t="s">
        <v>137</v>
      </c>
      <c r="C8" s="4" t="s">
        <v>42</v>
      </c>
      <c r="D8" s="44" t="s">
        <v>43</v>
      </c>
    </row>
    <row r="9" spans="1:4" x14ac:dyDescent="0.4">
      <c r="A9" s="4" t="s">
        <v>132</v>
      </c>
      <c r="B9" s="43" t="s">
        <v>138</v>
      </c>
      <c r="C9" s="4" t="s">
        <v>47</v>
      </c>
      <c r="D9" s="44" t="s">
        <v>48</v>
      </c>
    </row>
    <row r="10" spans="1:4" x14ac:dyDescent="0.4">
      <c r="A10" s="4" t="s">
        <v>132</v>
      </c>
      <c r="B10" s="43" t="s">
        <v>139</v>
      </c>
      <c r="C10" s="4" t="s">
        <v>52</v>
      </c>
      <c r="D10" s="44" t="s">
        <v>53</v>
      </c>
    </row>
    <row r="11" spans="1:4" x14ac:dyDescent="0.4">
      <c r="A11" s="4" t="s">
        <v>132</v>
      </c>
      <c r="B11" s="43" t="s">
        <v>140</v>
      </c>
      <c r="C11" s="4" t="s">
        <v>57</v>
      </c>
      <c r="D11" s="44" t="s">
        <v>58</v>
      </c>
    </row>
    <row r="12" spans="1:4" x14ac:dyDescent="0.4">
      <c r="A12" s="4" t="s">
        <v>132</v>
      </c>
      <c r="B12" s="43" t="s">
        <v>141</v>
      </c>
      <c r="C12" s="4" t="s">
        <v>62</v>
      </c>
      <c r="D12" s="44" t="s">
        <v>63</v>
      </c>
    </row>
    <row r="13" spans="1:4" x14ac:dyDescent="0.4">
      <c r="A13" s="4" t="s">
        <v>132</v>
      </c>
      <c r="B13" s="43" t="s">
        <v>142</v>
      </c>
      <c r="C13" s="4" t="s">
        <v>67</v>
      </c>
      <c r="D13" s="44" t="s">
        <v>68</v>
      </c>
    </row>
    <row r="14" spans="1:4" x14ac:dyDescent="0.4">
      <c r="A14" s="4" t="s">
        <v>143</v>
      </c>
      <c r="B14" s="43" t="s">
        <v>144</v>
      </c>
      <c r="C14" s="4" t="s">
        <v>145</v>
      </c>
      <c r="D14" s="4" t="s">
        <v>68</v>
      </c>
    </row>
    <row r="15" spans="1:4" x14ac:dyDescent="0.4">
      <c r="A15" s="4" t="s">
        <v>146</v>
      </c>
      <c r="B15" s="43" t="s">
        <v>147</v>
      </c>
      <c r="C15" s="4" t="s">
        <v>148</v>
      </c>
      <c r="D15" s="44" t="s">
        <v>149</v>
      </c>
    </row>
    <row r="16" spans="1:4" x14ac:dyDescent="0.4">
      <c r="A16" s="4" t="s">
        <v>150</v>
      </c>
      <c r="B16" s="43" t="s">
        <v>151</v>
      </c>
      <c r="C16" s="4" t="s">
        <v>152</v>
      </c>
      <c r="D16" s="4" t="s">
        <v>153</v>
      </c>
    </row>
    <row r="17" spans="1:4" x14ac:dyDescent="0.4">
      <c r="A17" s="4" t="s">
        <v>154</v>
      </c>
      <c r="B17" s="43" t="s">
        <v>155</v>
      </c>
      <c r="C17" s="4" t="s">
        <v>67</v>
      </c>
      <c r="D17" s="4" t="s">
        <v>68</v>
      </c>
    </row>
    <row r="18" spans="1:4" x14ac:dyDescent="0.4">
      <c r="A18" s="4" t="s">
        <v>156</v>
      </c>
      <c r="B18" s="43" t="s">
        <v>157</v>
      </c>
      <c r="C18" s="4" t="s">
        <v>152</v>
      </c>
      <c r="D18" s="4" t="s">
        <v>153</v>
      </c>
    </row>
    <row r="19" spans="1:4" x14ac:dyDescent="0.4">
      <c r="A19" s="4" t="s">
        <v>158</v>
      </c>
      <c r="B19" s="43" t="s">
        <v>159</v>
      </c>
      <c r="C19" s="4" t="s">
        <v>67</v>
      </c>
      <c r="D19" s="4" t="s">
        <v>68</v>
      </c>
    </row>
    <row r="20" spans="1:4" x14ac:dyDescent="0.4">
      <c r="A20" s="4" t="s">
        <v>160</v>
      </c>
      <c r="B20" s="43" t="s">
        <v>161</v>
      </c>
      <c r="C20" s="4" t="s">
        <v>162</v>
      </c>
      <c r="D20" s="4" t="s">
        <v>162</v>
      </c>
    </row>
    <row r="21" spans="1:4" x14ac:dyDescent="0.4">
      <c r="A21" s="4" t="s">
        <v>163</v>
      </c>
      <c r="B21" s="43" t="s">
        <v>164</v>
      </c>
      <c r="C21" s="4" t="s">
        <v>165</v>
      </c>
      <c r="D21" s="4" t="s">
        <v>162</v>
      </c>
    </row>
  </sheetData>
  <phoneticPr fontId="12" type="noConversion"/>
  <hyperlinks>
    <hyperlink ref="D4" r:id="rId1" xr:uid="{00000000-0004-0000-0400-000000000000}"/>
    <hyperlink ref="D5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5" r:id="rId11" xr:uid="{00000000-0004-0000-04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원자료_공시누적_백만원</vt:lpstr>
      <vt:lpstr>분기별_억원</vt:lpstr>
      <vt:lpstr>차트</vt:lpstr>
      <vt:lpstr>가동률_검증</vt:lpstr>
      <vt:lpstr>출처_주석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 류</cp:lastModifiedBy>
  <dcterms:created xsi:type="dcterms:W3CDTF">2026-09-03T12:07:33Z</dcterms:created>
  <dcterms:modified xsi:type="dcterms:W3CDTF">2026-09-04T07:15:23Z</dcterms:modified>
</cp:coreProperties>
</file>